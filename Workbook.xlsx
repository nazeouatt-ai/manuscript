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UATTARA Ali\Desktop\PhD documents\PhD at Taipei tech\SJS\FSB final Manuscript\New Version\Global Food security journal\Global food security new\JFS Word limit manuscript\First Submission files\Journal of Cleaner Production\"/>
    </mc:Choice>
  </mc:AlternateContent>
  <xr:revisionPtr revIDLastSave="0" documentId="13_ncr:1_{00F69911-1CDA-4372-8E5E-3D728EF9FEAB}" xr6:coauthVersionLast="47" xr6:coauthVersionMax="47" xr10:uidLastSave="{00000000-0000-0000-0000-000000000000}"/>
  <bookViews>
    <workbookView xWindow="28680" yWindow="-6885" windowWidth="29040" windowHeight="15720" tabRatio="500" firstSheet="2" activeTab="6" xr2:uid="{00000000-000D-0000-FFFF-FFFF00000000}"/>
  </bookViews>
  <sheets>
    <sheet name="Sheet1" sheetId="1" r:id="rId1"/>
    <sheet name="Sheet2" sheetId="2" r:id="rId2"/>
    <sheet name="PopulationTrajectory" sheetId="3" r:id="rId3"/>
    <sheet name="LandSystemChange_Agri" sheetId="4" r:id="rId4"/>
    <sheet name="LiteratureReview" sheetId="5" r:id="rId5"/>
    <sheet name="MultiPrincipleDownscaling" sheetId="6" r:id="rId6"/>
    <sheet name="Table4_DNF_DWF" sheetId="7" r:id="rId7"/>
    <sheet name="FoodSecurity_Land" sheetId="8" r:id="rId8"/>
    <sheet name="FoodSecurity_Cereal" sheetId="9" r:id="rId9"/>
    <sheet name="MonteCarlo_Robustness" sheetId="10" r:id="rId10"/>
    <sheet name="Index" sheetId="11" r:id="rId11"/>
  </sheets>
  <definedNames>
    <definedName name="_xlnm._FilterDatabase" localSheetId="0" hidden="1">Sheet1!$A$1:$C$16</definedName>
  </definedNames>
  <calcPr calcId="191029" iterateDelta="1E-4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6" i="9" l="1"/>
  <c r="B65" i="9"/>
  <c r="C64" i="9"/>
  <c r="C63" i="9"/>
  <c r="C62" i="9"/>
  <c r="E37" i="9"/>
  <c r="B37" i="9"/>
  <c r="B22" i="9"/>
  <c r="D67" i="9" s="1"/>
  <c r="B20" i="9"/>
  <c r="C65" i="9" s="1"/>
  <c r="B19" i="9"/>
  <c r="B63" i="9" s="1"/>
  <c r="D15" i="9"/>
  <c r="C15" i="9"/>
  <c r="B15" i="9"/>
  <c r="E14" i="9"/>
  <c r="F14" i="9" s="1"/>
  <c r="E13" i="9"/>
  <c r="E15" i="9" s="1"/>
  <c r="E12" i="9"/>
  <c r="F12" i="9" s="1"/>
  <c r="F11" i="9"/>
  <c r="E11" i="9"/>
  <c r="F10" i="9"/>
  <c r="E10" i="9"/>
  <c r="E9" i="9"/>
  <c r="F9" i="9" s="1"/>
  <c r="E8" i="9"/>
  <c r="F8" i="9" s="1"/>
  <c r="F7" i="9"/>
  <c r="E7" i="9"/>
  <c r="E6" i="9"/>
  <c r="F6" i="9" s="1"/>
  <c r="E32" i="8"/>
  <c r="E45" i="9" s="1"/>
  <c r="C32" i="8"/>
  <c r="C36" i="8" s="1"/>
  <c r="B32" i="8"/>
  <c r="B36" i="8" s="1"/>
  <c r="E25" i="8"/>
  <c r="E29" i="8" s="1"/>
  <c r="D25" i="8"/>
  <c r="D37" i="9" s="1"/>
  <c r="B25" i="8"/>
  <c r="B29" i="8" s="1"/>
  <c r="E18" i="8"/>
  <c r="D18" i="8"/>
  <c r="D22" i="8" s="1"/>
  <c r="B18" i="8"/>
  <c r="E14" i="8"/>
  <c r="D14" i="8"/>
  <c r="D32" i="8" s="1"/>
  <c r="C14" i="8"/>
  <c r="C25" i="8" s="1"/>
  <c r="B14" i="8"/>
  <c r="B10" i="8"/>
  <c r="D49" i="8" s="1"/>
  <c r="E34" i="7"/>
  <c r="D34" i="7"/>
  <c r="B34" i="7"/>
  <c r="A34" i="7"/>
  <c r="F33" i="7"/>
  <c r="E33" i="7"/>
  <c r="C33" i="7"/>
  <c r="B33" i="7"/>
  <c r="A33" i="7"/>
  <c r="E32" i="7"/>
  <c r="B32" i="7"/>
  <c r="A32" i="7"/>
  <c r="F31" i="7"/>
  <c r="E31" i="7"/>
  <c r="B31" i="7"/>
  <c r="A31" i="7"/>
  <c r="F30" i="7"/>
  <c r="E30" i="7"/>
  <c r="D30" i="7"/>
  <c r="B30" i="7"/>
  <c r="A30" i="7"/>
  <c r="I29" i="7"/>
  <c r="G29" i="7"/>
  <c r="F29" i="7"/>
  <c r="T29" i="7" s="1"/>
  <c r="E29" i="7"/>
  <c r="D29" i="7"/>
  <c r="H29" i="7" s="1"/>
  <c r="C29" i="7"/>
  <c r="B29" i="7"/>
  <c r="A29" i="7"/>
  <c r="J28" i="7"/>
  <c r="F28" i="7"/>
  <c r="E28" i="7"/>
  <c r="D28" i="7"/>
  <c r="C28" i="7"/>
  <c r="B28" i="7"/>
  <c r="A28" i="7"/>
  <c r="H27" i="7"/>
  <c r="G27" i="7"/>
  <c r="F27" i="7"/>
  <c r="J27" i="7" s="1"/>
  <c r="E27" i="7"/>
  <c r="D27" i="7"/>
  <c r="C27" i="7"/>
  <c r="B27" i="7"/>
  <c r="A27" i="7"/>
  <c r="J26" i="7"/>
  <c r="F26" i="7"/>
  <c r="E26" i="7"/>
  <c r="D26" i="7"/>
  <c r="C26" i="7"/>
  <c r="B26" i="7"/>
  <c r="A26" i="7"/>
  <c r="F25" i="7"/>
  <c r="E25" i="7"/>
  <c r="D25" i="7"/>
  <c r="C25" i="7"/>
  <c r="B25" i="7"/>
  <c r="A25" i="7"/>
  <c r="E20" i="7"/>
  <c r="C19" i="7"/>
  <c r="D33" i="7" s="1"/>
  <c r="H18" i="7"/>
  <c r="C18" i="7"/>
  <c r="F32" i="7" s="1"/>
  <c r="H15" i="7"/>
  <c r="J29" i="7" s="1"/>
  <c r="H14" i="7"/>
  <c r="I28" i="7" s="1"/>
  <c r="H13" i="7"/>
  <c r="I27" i="7" s="1"/>
  <c r="H12" i="7"/>
  <c r="I26" i="7" s="1"/>
  <c r="H11" i="7"/>
  <c r="J25" i="7" s="1"/>
  <c r="F6" i="7"/>
  <c r="F34" i="7" s="1"/>
  <c r="E6" i="7"/>
  <c r="D6" i="7"/>
  <c r="D31" i="7" s="1"/>
  <c r="C6" i="7"/>
  <c r="C30" i="7" s="1"/>
  <c r="B25" i="4"/>
  <c r="B20" i="4"/>
  <c r="B21" i="4" s="1"/>
  <c r="B15" i="4"/>
  <c r="B14" i="4"/>
  <c r="U25" i="2"/>
  <c r="V18" i="2"/>
  <c r="Q18" i="2"/>
  <c r="R18" i="2" s="1"/>
  <c r="S18" i="2" s="1"/>
  <c r="U18" i="2" s="1"/>
  <c r="V17" i="2"/>
  <c r="H17" i="2"/>
  <c r="E17" i="2"/>
  <c r="AE15" i="2"/>
  <c r="AB15" i="2"/>
  <c r="AA15" i="2"/>
  <c r="Z15" i="2"/>
  <c r="W15" i="2"/>
  <c r="M15" i="2"/>
  <c r="L15" i="2"/>
  <c r="K15" i="2"/>
  <c r="J15" i="2"/>
  <c r="J16" i="2" s="1"/>
  <c r="I15" i="2"/>
  <c r="I16" i="2" s="1"/>
  <c r="H15" i="2"/>
  <c r="H16" i="2" s="1"/>
  <c r="G15" i="2"/>
  <c r="G16" i="2" s="1"/>
  <c r="P17" i="2" s="1"/>
  <c r="Q17" i="2" s="1"/>
  <c r="R17" i="2" s="1"/>
  <c r="S17" i="2" s="1"/>
  <c r="T17" i="2" s="1"/>
  <c r="F15" i="2"/>
  <c r="F16" i="2" s="1"/>
  <c r="E15" i="2"/>
  <c r="E16" i="2" s="1"/>
  <c r="D15" i="2"/>
  <c r="C15" i="2"/>
  <c r="B15" i="2"/>
  <c r="M14" i="2"/>
  <c r="L14" i="2"/>
  <c r="K14" i="2"/>
  <c r="J14" i="2"/>
  <c r="I14" i="2"/>
  <c r="H14" i="2"/>
  <c r="G14" i="2"/>
  <c r="E19" i="7" s="1"/>
  <c r="H19" i="7" s="1"/>
  <c r="F14" i="2"/>
  <c r="E14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AE6" i="2"/>
  <c r="AD6" i="2"/>
  <c r="AD15" i="2" s="1"/>
  <c r="AC6" i="2"/>
  <c r="AC15" i="2" s="1"/>
  <c r="AB6" i="2"/>
  <c r="AA6" i="2"/>
  <c r="Z6" i="2"/>
  <c r="Y6" i="2"/>
  <c r="Y15" i="2" s="1"/>
  <c r="X6" i="2"/>
  <c r="X15" i="2" s="1"/>
  <c r="W6" i="2"/>
  <c r="V6" i="2"/>
  <c r="U6" i="2"/>
  <c r="T6" i="2"/>
  <c r="S6" i="2"/>
  <c r="R6" i="2"/>
  <c r="Q6" i="2"/>
  <c r="P6" i="2"/>
  <c r="O6" i="2"/>
  <c r="N6" i="2"/>
  <c r="K36" i="1"/>
  <c r="K35" i="1"/>
  <c r="J35" i="1"/>
  <c r="J36" i="1" s="1"/>
  <c r="I35" i="1"/>
  <c r="I36" i="1" s="1"/>
  <c r="H35" i="1"/>
  <c r="H36" i="1" s="1"/>
  <c r="I5" i="1"/>
  <c r="I6" i="1"/>
  <c r="I4" i="1"/>
  <c r="I7" i="1" l="1"/>
  <c r="D42" i="9"/>
  <c r="D38" i="9"/>
  <c r="I67" i="9"/>
  <c r="E50" i="9"/>
  <c r="E46" i="9"/>
  <c r="E49" i="9"/>
  <c r="T26" i="7"/>
  <c r="C37" i="9"/>
  <c r="C29" i="8"/>
  <c r="D63" i="9"/>
  <c r="G63" i="9" s="1"/>
  <c r="D45" i="9"/>
  <c r="D36" i="8"/>
  <c r="J33" i="7"/>
  <c r="I33" i="7"/>
  <c r="J24" i="10" s="1"/>
  <c r="H33" i="7"/>
  <c r="J23" i="10" s="1"/>
  <c r="G33" i="7"/>
  <c r="J22" i="10" s="1"/>
  <c r="J32" i="7"/>
  <c r="D65" i="9"/>
  <c r="E65" i="9" s="1"/>
  <c r="T33" i="7"/>
  <c r="G65" i="9"/>
  <c r="T27" i="7"/>
  <c r="D42" i="8"/>
  <c r="B9" i="8"/>
  <c r="B21" i="9"/>
  <c r="B38" i="9"/>
  <c r="B42" i="9"/>
  <c r="H20" i="7"/>
  <c r="C32" i="7"/>
  <c r="E36" i="8"/>
  <c r="D47" i="8"/>
  <c r="B62" i="9"/>
  <c r="D62" i="9" s="1"/>
  <c r="I62" i="9" s="1"/>
  <c r="B64" i="9"/>
  <c r="D64" i="9" s="1"/>
  <c r="G64" i="9" s="1"/>
  <c r="D32" i="7"/>
  <c r="H32" i="7" s="1"/>
  <c r="J19" i="10" s="1"/>
  <c r="B33" i="8"/>
  <c r="C66" i="9"/>
  <c r="G26" i="7"/>
  <c r="B24" i="9"/>
  <c r="D41" i="9" s="1"/>
  <c r="E38" i="9"/>
  <c r="E42" i="9"/>
  <c r="H26" i="7"/>
  <c r="D48" i="8"/>
  <c r="B29" i="9"/>
  <c r="B45" i="9"/>
  <c r="G32" i="7"/>
  <c r="J18" i="10" s="1"/>
  <c r="C45" i="9"/>
  <c r="C31" i="7"/>
  <c r="B22" i="8"/>
  <c r="B42" i="8" s="1"/>
  <c r="D29" i="9"/>
  <c r="I32" i="7"/>
  <c r="J20" i="10" s="1"/>
  <c r="C34" i="7"/>
  <c r="C18" i="8"/>
  <c r="F13" i="9"/>
  <c r="E29" i="9"/>
  <c r="H64" i="9"/>
  <c r="E16" i="7"/>
  <c r="H16" i="7" s="1"/>
  <c r="G25" i="7"/>
  <c r="H25" i="7"/>
  <c r="G28" i="7"/>
  <c r="T28" i="7" s="1"/>
  <c r="E22" i="8"/>
  <c r="B61" i="9"/>
  <c r="D61" i="9" s="1"/>
  <c r="I61" i="9" s="1"/>
  <c r="C67" i="9"/>
  <c r="G67" i="9" s="1"/>
  <c r="H17" i="7"/>
  <c r="I25" i="7"/>
  <c r="H28" i="7"/>
  <c r="C61" i="9"/>
  <c r="G61" i="9" s="1"/>
  <c r="E67" i="9"/>
  <c r="D29" i="8"/>
  <c r="B41" i="9"/>
  <c r="H67" i="9"/>
  <c r="E41" i="9"/>
  <c r="B57" i="9" s="1"/>
  <c r="M19" i="10" l="1"/>
  <c r="K19" i="10"/>
  <c r="C50" i="9"/>
  <c r="C46" i="9"/>
  <c r="C49" i="9"/>
  <c r="B26" i="8"/>
  <c r="D19" i="8"/>
  <c r="D50" i="9"/>
  <c r="D46" i="9"/>
  <c r="D49" i="9"/>
  <c r="F65" i="9"/>
  <c r="F63" i="9"/>
  <c r="F61" i="9"/>
  <c r="C41" i="9"/>
  <c r="F67" i="9"/>
  <c r="F66" i="9"/>
  <c r="F64" i="9"/>
  <c r="F62" i="9"/>
  <c r="C42" i="9"/>
  <c r="C38" i="9"/>
  <c r="M18" i="10"/>
  <c r="K18" i="10"/>
  <c r="H62" i="9"/>
  <c r="E64" i="9"/>
  <c r="J31" i="7"/>
  <c r="I31" i="7"/>
  <c r="J12" i="10" s="1"/>
  <c r="H31" i="7"/>
  <c r="J11" i="10" s="1"/>
  <c r="G31" i="7"/>
  <c r="J10" i="10" s="1"/>
  <c r="E26" i="8"/>
  <c r="B34" i="9"/>
  <c r="B30" i="9"/>
  <c r="B33" i="9"/>
  <c r="B55" i="9" s="1"/>
  <c r="H63" i="9"/>
  <c r="B43" i="8"/>
  <c r="H65" i="9"/>
  <c r="E34" i="9"/>
  <c r="E56" i="9" s="1"/>
  <c r="E30" i="9"/>
  <c r="E33" i="9"/>
  <c r="E55" i="9" s="1"/>
  <c r="E62" i="9"/>
  <c r="E19" i="8"/>
  <c r="C19" i="8"/>
  <c r="C22" i="8"/>
  <c r="C42" i="8" s="1"/>
  <c r="C29" i="9"/>
  <c r="B50" i="9"/>
  <c r="B46" i="9"/>
  <c r="B49" i="9"/>
  <c r="B19" i="8"/>
  <c r="J34" i="7"/>
  <c r="I34" i="7"/>
  <c r="J16" i="10" s="1"/>
  <c r="H34" i="7"/>
  <c r="J15" i="10" s="1"/>
  <c r="G34" i="7"/>
  <c r="J14" i="10" s="1"/>
  <c r="E47" i="9"/>
  <c r="E48" i="9"/>
  <c r="H61" i="9"/>
  <c r="I65" i="9"/>
  <c r="L21" i="10"/>
  <c r="J21" i="10"/>
  <c r="L20" i="10"/>
  <c r="L19" i="10"/>
  <c r="L18" i="10"/>
  <c r="M22" i="10"/>
  <c r="K22" i="10"/>
  <c r="M23" i="10"/>
  <c r="K23" i="10"/>
  <c r="C26" i="8"/>
  <c r="I64" i="9"/>
  <c r="M24" i="10"/>
  <c r="K24" i="10"/>
  <c r="D40" i="9"/>
  <c r="D39" i="9"/>
  <c r="G30" i="7"/>
  <c r="J30" i="7"/>
  <c r="I30" i="7"/>
  <c r="J8" i="10" s="1"/>
  <c r="H30" i="7"/>
  <c r="J7" i="10" s="1"/>
  <c r="B35" i="8"/>
  <c r="B34" i="8"/>
  <c r="D33" i="8"/>
  <c r="E33" i="8"/>
  <c r="T32" i="7"/>
  <c r="M20" i="10"/>
  <c r="K20" i="10"/>
  <c r="E42" i="8"/>
  <c r="I63" i="9"/>
  <c r="G62" i="9"/>
  <c r="E40" i="9"/>
  <c r="E39" i="9"/>
  <c r="D34" i="9"/>
  <c r="D56" i="9" s="1"/>
  <c r="D30" i="9"/>
  <c r="D33" i="9"/>
  <c r="D55" i="9" s="1"/>
  <c r="C33" i="8"/>
  <c r="D66" i="9"/>
  <c r="B23" i="9"/>
  <c r="L25" i="10"/>
  <c r="J25" i="10"/>
  <c r="L24" i="10"/>
  <c r="L23" i="10"/>
  <c r="L22" i="10"/>
  <c r="B40" i="9"/>
  <c r="B39" i="9"/>
  <c r="E63" i="9"/>
  <c r="E61" i="9"/>
  <c r="T25" i="7"/>
  <c r="D26" i="8"/>
  <c r="M25" i="10" l="1"/>
  <c r="K25" i="10"/>
  <c r="B20" i="8"/>
  <c r="B40" i="8" s="1"/>
  <c r="B21" i="8"/>
  <c r="B41" i="8" s="1"/>
  <c r="T31" i="7"/>
  <c r="L17" i="10"/>
  <c r="J17" i="10"/>
  <c r="L16" i="10"/>
  <c r="L15" i="10"/>
  <c r="L14" i="10"/>
  <c r="J6" i="10"/>
  <c r="T30" i="7"/>
  <c r="E21" i="8"/>
  <c r="E41" i="8" s="1"/>
  <c r="E20" i="8"/>
  <c r="E40" i="8" s="1"/>
  <c r="D21" i="8"/>
  <c r="D41" i="8" s="1"/>
  <c r="D20" i="8"/>
  <c r="D40" i="8" s="1"/>
  <c r="E31" i="9"/>
  <c r="E32" i="9"/>
  <c r="E54" i="9" s="1"/>
  <c r="D35" i="8"/>
  <c r="D34" i="8"/>
  <c r="B47" i="9"/>
  <c r="B48" i="9"/>
  <c r="H66" i="9"/>
  <c r="I66" i="9"/>
  <c r="G66" i="9"/>
  <c r="E66" i="9"/>
  <c r="C40" i="9"/>
  <c r="C39" i="9"/>
  <c r="C47" i="9"/>
  <c r="C48" i="9"/>
  <c r="M12" i="10"/>
  <c r="K12" i="10"/>
  <c r="D31" i="9"/>
  <c r="D32" i="9"/>
  <c r="L9" i="10"/>
  <c r="J9" i="10"/>
  <c r="L8" i="10"/>
  <c r="L7" i="10"/>
  <c r="L6" i="10"/>
  <c r="M21" i="10"/>
  <c r="K21" i="10"/>
  <c r="C20" i="8"/>
  <c r="C40" i="8" s="1"/>
  <c r="C21" i="8"/>
  <c r="C41" i="8" s="1"/>
  <c r="L13" i="10"/>
  <c r="J13" i="10"/>
  <c r="L12" i="10"/>
  <c r="L11" i="10"/>
  <c r="L10" i="10"/>
  <c r="D47" i="9"/>
  <c r="D48" i="9"/>
  <c r="M14" i="10"/>
  <c r="K14" i="10"/>
  <c r="E35" i="8"/>
  <c r="E34" i="8"/>
  <c r="B31" i="9"/>
  <c r="B32" i="9"/>
  <c r="B54" i="9" s="1"/>
  <c r="C35" i="8"/>
  <c r="C34" i="8"/>
  <c r="D28" i="8"/>
  <c r="D27" i="8"/>
  <c r="B47" i="8"/>
  <c r="B28" i="8"/>
  <c r="B49" i="8"/>
  <c r="B48" i="8"/>
  <c r="B27" i="8"/>
  <c r="T34" i="7"/>
  <c r="M15" i="10"/>
  <c r="K15" i="10"/>
  <c r="B56" i="9"/>
  <c r="E28" i="8"/>
  <c r="C49" i="8"/>
  <c r="E27" i="8"/>
  <c r="C48" i="8"/>
  <c r="C47" i="8"/>
  <c r="M10" i="10"/>
  <c r="K10" i="10"/>
  <c r="M7" i="10"/>
  <c r="K7" i="10"/>
  <c r="C34" i="9"/>
  <c r="C56" i="9" s="1"/>
  <c r="C30" i="9"/>
  <c r="C33" i="9"/>
  <c r="C55" i="9" s="1"/>
  <c r="M11" i="10"/>
  <c r="K11" i="10"/>
  <c r="M8" i="10"/>
  <c r="K8" i="10"/>
  <c r="C28" i="8"/>
  <c r="C27" i="8"/>
  <c r="M16" i="10"/>
  <c r="K16" i="10"/>
  <c r="M17" i="10" l="1"/>
  <c r="K17" i="10"/>
  <c r="M13" i="10"/>
  <c r="K13" i="10"/>
  <c r="M6" i="10"/>
  <c r="K6" i="10"/>
  <c r="C31" i="9"/>
  <c r="C32" i="9"/>
  <c r="C54" i="9" s="1"/>
  <c r="M9" i="10"/>
  <c r="K9" i="10"/>
  <c r="D54" i="9"/>
</calcChain>
</file>

<file path=xl/sharedStrings.xml><?xml version="1.0" encoding="utf-8"?>
<sst xmlns="http://schemas.openxmlformats.org/spreadsheetml/2006/main" count="922" uniqueCount="395">
  <si>
    <t>Area</t>
  </si>
  <si>
    <t>type</t>
  </si>
  <si>
    <t>Name</t>
  </si>
  <si>
    <t>year</t>
  </si>
  <si>
    <t>Forest</t>
  </si>
  <si>
    <t>Natural Vegetation</t>
  </si>
  <si>
    <t>Savanna</t>
  </si>
  <si>
    <r>
      <rPr>
        <sz val="12"/>
        <color theme="1"/>
        <rFont val="Noto Sans CJK SC"/>
        <family val="2"/>
      </rPr>
      <t xml:space="preserve">加總 </t>
    </r>
    <r>
      <rPr>
        <sz val="12"/>
        <color theme="1"/>
        <rFont val="Aptos Narrow"/>
        <family val="2"/>
        <charset val="136"/>
      </rPr>
      <t>- Area</t>
    </r>
  </si>
  <si>
    <t>Wetland - floodplain</t>
  </si>
  <si>
    <t>Barren/Urban</t>
  </si>
  <si>
    <t>Steppe</t>
  </si>
  <si>
    <t>Crop Land/Pasture</t>
  </si>
  <si>
    <t>Agriculture</t>
  </si>
  <si>
    <t>Water bodies</t>
  </si>
  <si>
    <t>Rocky land</t>
  </si>
  <si>
    <t>Bare soil</t>
  </si>
  <si>
    <t>Settlements</t>
  </si>
  <si>
    <t>Irrigated agriculture</t>
  </si>
  <si>
    <t>Gallery forest and riparian forest</t>
  </si>
  <si>
    <t>Bowe</t>
  </si>
  <si>
    <t>Agriculture in shallows and recession</t>
  </si>
  <si>
    <t>Woodland</t>
  </si>
  <si>
    <t>Sahelian short grass savanna</t>
  </si>
  <si>
    <t>Plantation</t>
  </si>
  <si>
    <t>Degraded forest</t>
  </si>
  <si>
    <t>Open mine</t>
  </si>
  <si>
    <t xml:space="preserve">Total </t>
  </si>
  <si>
    <t xml:space="preserve">Probability </t>
  </si>
  <si>
    <t>Mineral FertiIizer Use by Crop</t>
  </si>
  <si>
    <t>PLANTED AREA</t>
  </si>
  <si>
    <t>NUTRIENT APPLIED</t>
  </si>
  <si>
    <t>NUTRIENT APPLICATION RATE</t>
  </si>
  <si>
    <t>CROP SHARE OF TOTAL NUTRIENT USE</t>
  </si>
  <si>
    <t>BURKINA FASO</t>
  </si>
  <si>
    <t>ha</t>
  </si>
  <si>
    <t>Metric tonnes of nutrients</t>
  </si>
  <si>
    <t>Kg nutrient/ha</t>
  </si>
  <si>
    <t>%</t>
  </si>
  <si>
    <t>N</t>
  </si>
  <si>
    <t>P2O5</t>
  </si>
  <si>
    <t>K2O</t>
  </si>
  <si>
    <t>CROP</t>
  </si>
  <si>
    <t xml:space="preserve">Cotton </t>
  </si>
  <si>
    <t>Maize</t>
  </si>
  <si>
    <t>Sorghum</t>
  </si>
  <si>
    <t>Millet</t>
  </si>
  <si>
    <t>Rice</t>
  </si>
  <si>
    <t>Cow pea</t>
  </si>
  <si>
    <t>Fruits and vegetables</t>
  </si>
  <si>
    <t>Sugar cane</t>
  </si>
  <si>
    <t>Total</t>
  </si>
  <si>
    <t xml:space="preserve">Fertilizer </t>
  </si>
  <si>
    <t>N;P/ Capita</t>
  </si>
  <si>
    <t xml:space="preserve">for food </t>
  </si>
  <si>
    <t>PB</t>
  </si>
  <si>
    <t>2023-24</t>
  </si>
  <si>
    <t xml:space="preserve">From animal </t>
  </si>
  <si>
    <t xml:space="preserve">Total N per capita </t>
  </si>
  <si>
    <t>Sources:</t>
  </si>
  <si>
    <t xml:space="preserve">Total P per capita </t>
  </si>
  <si>
    <t>AfricaFertilizer.Org (AFO) initiative hosted by the International Fertilizer Development Center (IFDC).</t>
  </si>
  <si>
    <t xml:space="preserve">Loss to Soil </t>
  </si>
  <si>
    <t>Total Input</t>
  </si>
  <si>
    <t>Area data come from the Ministry of Agriculture's permanent agricultural surveys (DGESS - Ministry of Agriculture, EPA, 2016-2017).</t>
  </si>
  <si>
    <t xml:space="preserve">Nitrogen </t>
  </si>
  <si>
    <t>Total P per capita remaining in soil</t>
  </si>
  <si>
    <t>Phosphorus</t>
  </si>
  <si>
    <t>Notes:</t>
  </si>
  <si>
    <t>The consumption estimates presented here relate to mineral fertilizers only. 2017 refers to the period from January 2017 to December 2017.</t>
  </si>
  <si>
    <t>Please note that the total quantities of nutrients reported here may be different from the totals reported in the IFASTAT consumption database.</t>
  </si>
  <si>
    <t>Blue water PB</t>
  </si>
  <si>
    <t>Copyright © 2022 International Fertilizer Association – All Rights Reserved</t>
  </si>
  <si>
    <t>Population trajectory — supporting data</t>
  </si>
  <si>
    <t>Companion to Supplementary Table S1 (population projections). UN medium-variant, UN DESA (2024)</t>
  </si>
  <si>
    <t>1. Population trajectory (Burkina Faso, UN medium-variant, UN DESA 2024)</t>
  </si>
  <si>
    <t>Year</t>
  </si>
  <si>
    <t>Population</t>
  </si>
  <si>
    <t>Land-system-change AESI: agricultural-land recomputation</t>
  </si>
  <si>
    <t>Context</t>
  </si>
  <si>
    <t>Table 1's Land-System Change AESI comprises all agricultural land</t>
  </si>
  <si>
    <t>(cropland + pasture together), matching te Wierik et al.'s (2025) global agricultural-land footprint definition (manuscript Table 1).</t>
  </si>
  <si>
    <t>Corrected inputs</t>
  </si>
  <si>
    <t>Value</t>
  </si>
  <si>
    <t>Unit</t>
  </si>
  <si>
    <t>Source</t>
  </si>
  <si>
    <t>Burkina Faso cropland (actual, 2025)</t>
  </si>
  <si>
    <t>Mha</t>
  </si>
  <si>
    <t>This study (manuscript Section 3.1.3 / Table 1; DGESS/EPA permanent agricultural survey, 2016-2017)</t>
  </si>
  <si>
    <t>Burkina Faso permanent pasture (% of land area)</t>
  </si>
  <si>
    <t>World Bank / FAOSTAT, 2023 (matches CIA World Factbook, 2018 estimate, independently)</t>
  </si>
  <si>
    <t>Burkina Faso total land area</t>
  </si>
  <si>
    <t>Sheet1 land-use totals (K35, 271,356 km2)</t>
  </si>
  <si>
    <t>Burkina Faso permanent pasture (derived)</t>
  </si>
  <si>
    <t>Computed as pasture % x total land area</t>
  </si>
  <si>
    <t>Burkina Faso agricultural land (2025)</t>
  </si>
  <si>
    <t>Computed as cropland + pasture</t>
  </si>
  <si>
    <t>Global agricultural land, current use</t>
  </si>
  <si>
    <t>te Wierik et al. (2025); '48 Mkm2' already cited in manuscript Section 3.1.3</t>
  </si>
  <si>
    <t>Global agricultural-land boundary (central)</t>
  </si>
  <si>
    <t>Conijn et al. (2018); 50% land-conversion threshold, 2010 land use</t>
  </si>
  <si>
    <t>Downscaled boundary (land-area share)</t>
  </si>
  <si>
    <t>SOS_BFA,Agri = (A_BFA / A_World) x FSB_World,Agri</t>
  </si>
  <si>
    <t>Pressure-to-boundary ratio, 2025</t>
  </si>
  <si>
    <t>ratio</t>
  </si>
  <si>
    <t>Computed as agricultural land / downscaled boundary</t>
  </si>
  <si>
    <t>for the food-security-required-land indicator, which concerns cereal cultivation specifically</t>
  </si>
  <si>
    <t>Cropland-only ratio, 2025 (6.0 / 4.97 Mha)</t>
  </si>
  <si>
    <t>Literature review: national downscaling of food-system planetary boundaries (expanded per te Wierik et al., 2025)</t>
  </si>
  <si>
    <t>Seven of nine planetary boundaries are already transgressed, and food systems are consistently identified as a dominant driver across climate, land, freshwater, and nutrient domains (Rockström et al., 2009; te Wierik et al., 2025). Translating these global limits into boundaries that a country, sector, or business can act on -- "downscaling" -- has therefore become an active sub-field of its own (Bai et al., 2024).</t>
  </si>
  <si>
    <t>A growing body of national- and sub-national-scale applications now spans very different geographies and allocation choices: Nykvist et al. (2013) and Dao et al. (2018) established early country-level downscaling principles (Sweden and Switzerland); Huang et al. (2020) applied a dynamic, population-weighted downscaling method to Taiwan, Røkås &amp; Gómez-Baggethun (2025) downscaled a hybrid top-down/bottom-up set of boundaries to Norway; and Lind, Friis &amp; Vea (2025, CONCITO/DTU Sustain) produced the most methodologically comparable case to this study, downscaling six boundaries to Denmark using both equal-per-capita and historical-responsibility allocation. At the sector level, Conijn et al. (2018) and te Wierik et al. (2025) define the global food-system boundary (FSB) values this study adopts directly (Table 1).</t>
  </si>
  <si>
    <t xml:space="preserve">This study assesses whether a sahelian country like Burkina faso could feed itself within a dedicated SOS. </t>
  </si>
  <si>
    <t>Comparison of national/sub-global downscaling studies</t>
  </si>
  <si>
    <t>Study</t>
  </si>
  <si>
    <t>Geographic scope</t>
  </si>
  <si>
    <t>PB domains covered</t>
  </si>
  <si>
    <t>Downscaling method(s)</t>
  </si>
  <si>
    <t>Agricultural land treatment</t>
  </si>
  <si>
    <t>Relation to this study</t>
  </si>
  <si>
    <t>Nykvist, Persson &amp; Persson</t>
  </si>
  <si>
    <t>Sweden</t>
  </si>
  <si>
    <t>Climate, land, freshwater, biogeochemical flows, biodiversity</t>
  </si>
  <si>
    <t>Country-share downscaling principles (one of the earliest applications); no single method prescribed</t>
  </si>
  <si>
    <t>Not disaggregated (land-system change treated generically)</t>
  </si>
  <si>
    <t>Source of this study's general “selected downscaling method” citation (Section 2.2, 2.3); land-area-share equation follows this family of approaches.</t>
  </si>
  <si>
    <t>Dao, Peduzzi &amp; Friot</t>
  </si>
  <si>
    <t>Switzerland</t>
  </si>
  <si>
    <t>Per-capita / equal-share downscaling, with historical-responsibility variants for climate</t>
  </si>
  <si>
    <t>Not disaggregated (land footprint, not cropland vs pasture)</t>
  </si>
  <si>
    <t>Per-capita climate-allocation principle cited for the national AESI convention (manuscript Sections 2.3 and 3.1.1).</t>
  </si>
  <si>
    <t>Huang, Hu &amp; Kuo</t>
  </si>
  <si>
    <t>Taiwan</t>
  </si>
  <si>
    <t>Climate, ocean acidification, biogeochemical flows (N, P), land-system change, freshwater use</t>
  </si>
  <si>
    <t>Global-share allocation by domain; dynamic normalization/weighting factors (DNF, DWF) evolve the allocation with population over time.</t>
  </si>
  <si>
    <t>Forest-cover-to-potential-forest ratio (Anthropized Land from potential forest cover); no cropland/pasture distinction</t>
  </si>
  <si>
    <t>DNF/DWF method adopted directly; land-system-change method NOT followed.</t>
  </si>
  <si>
    <t>Conijn, Bindraban, Schröder &amp; Jongschaap</t>
  </si>
  <si>
    <t>Global (sectoral)</t>
  </si>
  <si>
    <t>Land-system change (agricultural land only)</t>
  </si>
  <si>
    <t>Global 50%-land-conversion threshold (2010 land use), not a national downscaling method</t>
  </si>
  <si>
    <t>Agricultural land as a whole (cropland + pasture)</t>
  </si>
  <si>
    <t>Supplies this study's global agricultural-land central-value boundary (4,136 Mha; Table 1, footnote a).</t>
  </si>
  <si>
    <t>Bai, Hasan, Andersen et al.</t>
  </si>
  <si>
    <t>Cities and businesses (synthesis)</t>
  </si>
  <si>
    <t>All 8 Earth-system boundaries (synthesis of 40 studies)</t>
  </si>
  <si>
    <t>Taxonomy of 11 sharing principles (equality, responsibility, capability, basic needs, grandfathering, etc.); no single method</t>
  </si>
  <si>
    <t>Not a primary study; land/nutrient boundaries discussed only via cited sub-global case studies</t>
  </si>
  <si>
    <t>General framing reference for “downscaling as a distinct sub-field” (Section 1); this study's chosen principles (population/land-area share) sit within Bai et al.'s “equality” and “basic needs” categories.</t>
  </si>
  <si>
    <t>Røkås &amp; Gómez-Baggethun</t>
  </si>
  <si>
    <t>Norway</t>
  </si>
  <si>
    <t>Climate, ocean acidification, phosphorus, nitrogen, biosphere integrity, land-system change, freshwater</t>
  </si>
  <si>
    <t>Hybrid: top-down per-capita + historical-responsibility for climate/ocean acidification; bottom-up national-policy targets for land, freshwater, nutrients, biodiversity</t>
  </si>
  <si>
    <t>Forest-cover-to-potential-forest ratio only (Bryn et al., 2013 method); phosphorus derived bottom-up from agronomic soil-nutrient requirements, not an area share</t>
  </si>
  <si>
    <t>Cited in the Introduction as a national downscaling application; the clearest bottom-up alternative to this study's area-share approach.</t>
  </si>
  <si>
    <t>Lind, Friis &amp; Vea (CONCITO/DTU Sustain)</t>
  </si>
  <si>
    <t>Denmark</t>
  </si>
  <si>
    <t>Climate, land-system change, freshwater use, nitrogen, phosphorus, biosphere integrity</t>
  </si>
  <si>
    <t>Equal-per-capita AND historical-responsibility allocation (explicit “debt”/payback-period equations) for climate and footprint indicators; bottom-up national modelling for territorial land, freshwater and nutrient indicators</t>
  </si>
  <si>
    <t>Explicitly disaggregates cropland, total agricultural/anthropized land, and total land occupation (crop + pasture + forestry)</t>
  </si>
  <si>
    <t>The single most comparable national case study.</t>
  </si>
  <si>
    <t>te Wierik, DeClerck, Beusen et al.</t>
  </si>
  <si>
    <t>Global (food system sector)</t>
  </si>
  <si>
    <t>Climate, land-system change, freshwater use, nitrogen, phosphorus</t>
  </si>
  <si>
    <t>No single method: IAM-optimized allocation for climate; proportional-reduction-from-current-share for freshwater/N/P; multi-scale (global/biome/ecoregion) intactness thresholds for land</t>
  </si>
  <si>
    <t>Reports the global food-system land footprint (48 Mkm²) explicitly as ~16 Mkm² cropland + ~32 Mkm² permanent meadow/pasture combined</t>
  </si>
  <si>
    <t>Source of every global FSB reference value in this study's Table 1 (“Adapted from te Wierik et al., 2025; Willett et al., 2019”); its land-scope finding (grazing land raising ecoregion transgression from 5% to 34%) directly motivates this study's cropland-to-agricultural-land extension.</t>
  </si>
  <si>
    <t>This study (Ouattara et al.)</t>
  </si>
  <si>
    <t>Burkina Faso</t>
  </si>
  <si>
    <t>Climate, land-system change, freshwater use, nitrogen, phosphorus (one framework across all five)</t>
  </si>
  <si>
    <t>Population share (climate), land-area intensity (freshwater, N, P) and land-area share (land-system change), dynamically re-weighted via DNF/DWF method; compared against AP, GF and RE principles</t>
  </si>
  <si>
    <t>Agricultural land, cropland plus pasture, linked forward to a life-cycle cereal-demand projection through 2100 — not attempted in any of the above</t>
  </si>
  <si>
    <t>—</t>
  </si>
  <si>
    <t>Multi-principle downscaling and dynamic Monte Carlo — supporting calculations</t>
  </si>
  <si>
    <t>1. Deterministic downscaled boundary (SOS) and ASR by sharing principle, domain, and year</t>
  </si>
  <si>
    <t>Domain</t>
  </si>
  <si>
    <t>Principle</t>
  </si>
  <si>
    <t>Current impact (EI)</t>
  </si>
  <si>
    <t>Downscaled boundary (SOS)</t>
  </si>
  <si>
    <t>ASR = EI / SOS</t>
  </si>
  <si>
    <t>Climate change</t>
  </si>
  <si>
    <t>EPC</t>
  </si>
  <si>
    <t>Gt CO2eq</t>
  </si>
  <si>
    <t>AP</t>
  </si>
  <si>
    <t>GF</t>
  </si>
  <si>
    <t>RE</t>
  </si>
  <si>
    <t>Freshwater use</t>
  </si>
  <si>
    <t>km3</t>
  </si>
  <si>
    <t>Nitrogen</t>
  </si>
  <si>
    <t>Tg N</t>
  </si>
  <si>
    <t>Tg P</t>
  </si>
  <si>
    <t>Land-system change</t>
  </si>
  <si>
    <t>Mkm2 (EI = cropland 6.0 Mha)</t>
  </si>
  <si>
    <t>2. Pooled dynamic Monte Carlo summary (N = 2,000; sharing-principle choice + FSB boundary-value uncertainty), by domain and year (main-text Figure 8; Supplementary Figures S6 and S7)</t>
  </si>
  <si>
    <t>Median ASR</t>
  </si>
  <si>
    <t>5th percentile ASR</t>
  </si>
  <si>
    <t>95th percentile ASR</t>
  </si>
  <si>
    <t>Frequency of no-transgression (f_i,t)</t>
  </si>
  <si>
    <t>3. Monte Carlo frequency of no-transgression, stratified by principle held fixed (boundary-value uncertainty only) — matches Supplementary Table S9</t>
  </si>
  <si>
    <t>-</t>
  </si>
  <si>
    <t>Table 4 — Dynamic normalization and weighting factors (DNF, DWF): supporting calculations</t>
  </si>
  <si>
    <t>1. Population (UN medium variant, UN DESA 2024; Supplementary Table S1)</t>
  </si>
  <si>
    <t>linked to PopulationTrajectory</t>
  </si>
  <si>
    <t>World</t>
  </si>
  <si>
    <t>Supplementary Table S1</t>
  </si>
  <si>
    <t>2. Inputs by indicator</t>
  </si>
  <si>
    <t>Scale</t>
  </si>
  <si>
    <t>Indicator (per-capita unit)</t>
  </si>
  <si>
    <t>Boundary</t>
  </si>
  <si>
    <t>Boundary unit</t>
  </si>
  <si>
    <t>Base-year footprint</t>
  </si>
  <si>
    <t>Footprint unit</t>
  </si>
  <si>
    <t>Factor to per-capita unit</t>
  </si>
  <si>
    <t>Base-year footprint per capita</t>
  </si>
  <si>
    <t>Source / note</t>
  </si>
  <si>
    <t>Global</t>
  </si>
  <si>
    <t>Climate (t CO₂eq)</t>
  </si>
  <si>
    <t>Gt CO₂eq yr⁻¹</t>
  </si>
  <si>
    <t>Table 1 central value; footprint = midpoint of 16–17.7</t>
  </si>
  <si>
    <t>Freshwater (10³ m³)</t>
  </si>
  <si>
    <t>km³ yr⁻¹</t>
  </si>
  <si>
    <t>Table 1 central value; footprint = midpoint of 1,200–1,800</t>
  </si>
  <si>
    <t>Phosphorus (kg P)</t>
  </si>
  <si>
    <t>Tg P yr⁻¹</t>
  </si>
  <si>
    <t>Table 1 values; see check in section 3</t>
  </si>
  <si>
    <t>Nitrogen (kg N)</t>
  </si>
  <si>
    <t>Tg N yr⁻¹</t>
  </si>
  <si>
    <t>Cropland (ha)</t>
  </si>
  <si>
    <t>Cropland sub-boundary 13 Mkm²; footprint ≈ FAOSTAT global cropland (implied by Table 4)</t>
  </si>
  <si>
    <t>Mt CO₂eq yr⁻¹</t>
  </si>
  <si>
    <t>2.71 t CO₂eq cap⁻¹ (Section 3.1.4) × 2025 population</t>
  </si>
  <si>
    <t>Freshwater green water (10³ m³)</t>
  </si>
  <si>
    <t>Table 3; total available green water (Section 2.3)</t>
  </si>
  <si>
    <t>Phosphorus fertilizer applied (kg P)</t>
  </si>
  <si>
    <t>t P yr⁻¹</t>
  </si>
  <si>
    <t>Land-intensity downscaling: global boundary (C13, Tg P) x Burkina Faso cropland (E20, 6.0 Mha) / global cropland threshold (C15, 1,300 Mha) = 36,923 t P. Pressure: 2017 food-crop P (Sheet2 J14 23,688 t P2O5 x 0.4364 = 10,337; manuscript reports 10,339); cotton excluded</t>
  </si>
  <si>
    <t>Nitrogen fertilizer applied (kg N)</t>
  </si>
  <si>
    <t>t N yr⁻¹</t>
  </si>
  <si>
    <t>Land-intensity downscaling: global boundary (C14, Tg N) x cropland (E20) / C15 = 415,385 t N. Pressure: 2017 food-crop N (Sheet2 G14); cotton excluded</t>
  </si>
  <si>
    <t>Cropland sub-boundary; actual cropland 6.0 Mha</t>
  </si>
  <si>
    <t>Indicator</t>
  </si>
  <si>
    <t>DNF 2025</t>
  </si>
  <si>
    <t>DNF 2050</t>
  </si>
  <si>
    <t>DNF 2075</t>
  </si>
  <si>
    <t>DNF 2100</t>
  </si>
  <si>
    <t>DWF 2025</t>
  </si>
  <si>
    <t>DWF 2050</t>
  </si>
  <si>
    <t>DWF 2075</t>
  </si>
  <si>
    <t>DWF 2100</t>
  </si>
  <si>
    <t>Pub. DNF 2075</t>
  </si>
  <si>
    <t>Pub. DNF 2100</t>
  </si>
  <si>
    <t>Pub. DWF 2025</t>
  </si>
  <si>
    <t>Pub. DWF 2050</t>
  </si>
  <si>
    <t>Pub. DWF 2075</t>
  </si>
  <si>
    <t>Pub. DWF 2100</t>
  </si>
  <si>
    <t>Check (DNF ±0.2%, DWF ±0.01)</t>
  </si>
  <si>
    <t>Food-security land requirement (whole-cropland test) — Eqs. 5–8, Section 3.3; cereal-specific test in FoodSecurity_Cereal</t>
  </si>
  <si>
    <t>M = Pop × kcal × 365 × λ / κ × θ;  L = M / Y. Blue = input; black = formula. Required yield on the cropland boundary here is the lower bound (all boundary cropland assigned to cereals).</t>
  </si>
  <si>
    <t>1. Inputs</t>
  </si>
  <si>
    <t>Parameter</t>
  </si>
  <si>
    <t>Cereal share of dietary energy, λ</t>
  </si>
  <si>
    <t>Section 2.1 [8]</t>
  </si>
  <si>
    <t>Blended cereal energy content, κ (kcal kg⁻¹)</t>
  </si>
  <si>
    <t>Section 2.1</t>
  </si>
  <si>
    <t>Loss and other-use factor, θ</t>
  </si>
  <si>
    <t>Supplementary Table S4 (2013–2019 mean)</t>
  </si>
  <si>
    <t>Baseline cereal yield, Y (t ha⁻¹)</t>
  </si>
  <si>
    <t>Actual cropland (Mha)</t>
  </si>
  <si>
    <t>LandSystemChange_Agri!B11</t>
  </si>
  <si>
    <t>Cropland sub-boundary (Mha)</t>
  </si>
  <si>
    <t>Section 3.1.3 / Table 4</t>
  </si>
  <si>
    <t>Burkina Faso population</t>
  </si>
  <si>
    <t>2. Results by dietary scenario</t>
  </si>
  <si>
    <t>2,700 kcal cap⁻¹ d⁻¹</t>
  </si>
  <si>
    <t>Required cereal production, M (Mt)</t>
  </si>
  <si>
    <t>Required land at baseline yield, L (Mha)</t>
  </si>
  <si>
    <t>Share of actual cropland</t>
  </si>
  <si>
    <t>Share of cropland boundary (4.97 Mha)</t>
  </si>
  <si>
    <t>Required yield if all boundary cropland went to cereals (t ha⁻¹; lower bound)</t>
  </si>
  <si>
    <t>2,850 kcal cap⁻¹ d⁻¹</t>
  </si>
  <si>
    <t>3,000 kcal cap⁻¹ d⁻¹</t>
  </si>
  <si>
    <t>3. Ranges across diets (as reported in Section 3.3)</t>
  </si>
  <si>
    <t>Metric</t>
  </si>
  <si>
    <t>Share of actual cropland (min–max)</t>
  </si>
  <si>
    <t>Share of sub-boundary (min–max)</t>
  </si>
  <si>
    <t>Required yield, t ha⁻¹ (min–max)</t>
  </si>
  <si>
    <t>Annual yield growth to 2100, central diet (lower bound; see FoodSecurity_Cereal for the cereal-specific rate)</t>
  </si>
  <si>
    <t>Cereal-specific test (Eq. 8; Tables 5, S5, S8): see sheet FoodSecurity_Cereal.</t>
  </si>
  <si>
    <t>4. Sensitivity to cropland area (2,850 kcal, whole-cropland test)</t>
  </si>
  <si>
    <t>Cropland assumption (Mha)</t>
  </si>
  <si>
    <t>Land / actual, 2025</t>
  </si>
  <si>
    <t>Land / actual, 2100</t>
  </si>
  <si>
    <t>Downscaled boundary (Mha)</t>
  </si>
  <si>
    <t>Cereal-specific food-security test — Eq. 8, Section 3.3, Table 5, Figure 7, Supplementary Tables S5 and S8</t>
  </si>
  <si>
    <t>Boundary-compliant cereal land = (cereal area / cropland) × cropland boundary; required yield Y* = M / boundary cereal land. Blue = input; black = formula. Cereal series: World Bank WDI indicators AG.LND.CREL.HA, AG.YLD.CREL.KG, AG.PRD.CREL.MT (FAO data; World Bank, 2026b).</t>
  </si>
  <si>
    <t>1. World Bank cereal series, Burkina Faso</t>
  </si>
  <si>
    <t>Cereal area (ha)</t>
  </si>
  <si>
    <t>Yield (kg ha⁻¹)</t>
  </si>
  <si>
    <t>Production (t)</t>
  </si>
  <si>
    <t>Area × yield (t)</t>
  </si>
  <si>
    <t>Area × yield / production − 1</t>
  </si>
  <si>
    <t>Mean 2019–2023</t>
  </si>
  <si>
    <t>National ministry: 4.2 Mha mean cereal area, 2019/20–2023/24 (Ecofin, 2026); agrees.</t>
  </si>
  <si>
    <t>2. Inputs</t>
  </si>
  <si>
    <t>Present cereal area, A_cer (Mha)</t>
  </si>
  <si>
    <t>Mean 2019–2023 of the World Bank series (row 15)</t>
  </si>
  <si>
    <t>Mean 2019–2023 (1.188 rounded); production 5.02 Mt / area 4.23 Mha = 1.19</t>
  </si>
  <si>
    <t>Cropland boundary, SOS_crop (Mha)</t>
  </si>
  <si>
    <t>Table 4 / Table 2</t>
  </si>
  <si>
    <t>Cropland ratio (actual / boundary)</t>
  </si>
  <si>
    <t>Computed</t>
  </si>
  <si>
    <t>Boundary-compliant cereal land, L_SOS,cer (Mha)</t>
  </si>
  <si>
    <t>Eq. 8: (A_cer / cropland) × SOS_crop = A_cer / cropland ratio</t>
  </si>
  <si>
    <t>Superseded baseline yield (t ha⁻¹)</t>
  </si>
  <si>
    <t>Midpoint of 0.92–1.95 range of crop-specific yields; used only in the sensitivity table</t>
  </si>
  <si>
    <t>3. Results by dietary scenario (loss and other-use factor θ, λ, κ from FoodSecurity_Land)</t>
  </si>
  <si>
    <t>Share of present cereal area</t>
  </si>
  <si>
    <t>Share of boundary-compliant cereal land</t>
  </si>
  <si>
    <t>Required yield on boundary-compliant cereal land (t ha⁻¹)</t>
  </si>
  <si>
    <t>4. Ranges across diets (as reported in the abstract and Section 3.3)</t>
  </si>
  <si>
    <t>Share of boundary-compliant cereal land (min–max)</t>
  </si>
  <si>
    <t>Required yield on boundary-compliant cereal land, t ha⁻¹ (min–max)</t>
  </si>
  <si>
    <t>Required yield, all boundary cropland to cereals, t ha⁻¹ (min–max)</t>
  </si>
  <si>
    <t>Annual yield growth to 2100, central diet, cereal-specific</t>
  </si>
  <si>
    <t>From the present yield to the required yield on boundary-compliant cereal land, 75 years</t>
  </si>
  <si>
    <t>5. Sensitivity of the cereal test (Supplementary Table S5), 2,850 kcal, central θ</t>
  </si>
  <si>
    <t>Case</t>
  </si>
  <si>
    <t>Cereal area (Mha)</t>
  </si>
  <si>
    <t>Yield (t ha⁻¹)</t>
  </si>
  <si>
    <t>Cereal boundary (Mha)</t>
  </si>
  <si>
    <t>Share 2025</t>
  </si>
  <si>
    <t>Share 2050</t>
  </si>
  <si>
    <t>Share 2100</t>
  </si>
  <si>
    <t>Required yield 2025 (t ha⁻¹)</t>
  </si>
  <si>
    <t>Required yield 2100 (t ha⁻¹)</t>
  </si>
  <si>
    <t>Central (2019–2023 means)</t>
  </si>
  <si>
    <t>Baseline yield 1.44 t ha⁻¹ (midpoint of crop range)</t>
  </si>
  <si>
    <t>Low-yield year (2021)</t>
  </si>
  <si>
    <t>High-yield year (2020)</t>
  </si>
  <si>
    <t>Low cereal area (2020)</t>
  </si>
  <si>
    <t>High cereal area (2022)</t>
  </si>
  <si>
    <t>All boundary cropland available to cereals (lower bound)</t>
  </si>
  <si>
    <t>6. Monte Carlo (Supplementary Table S8): required cereal land / boundary-compliant cereal land</t>
  </si>
  <si>
    <t>Static values from src/cereal.py (N = 2,000 draws, seed 20260; boundary and θ drawn jointly). Re-run the script to regenerate.</t>
  </si>
  <si>
    <t>Dietary scenario</t>
  </si>
  <si>
    <t>Median</t>
  </si>
  <si>
    <t>5th pct</t>
  </si>
  <si>
    <t>95th pct</t>
  </si>
  <si>
    <t>P(ratio &gt; 1)</t>
  </si>
  <si>
    <t>Low (2,700 kcal)</t>
  </si>
  <si>
    <t>Central (2,850 kcal)</t>
  </si>
  <si>
    <t>High (3,000 kcal)</t>
  </si>
  <si>
    <t>Boundary-value Monte Carlo (Supplementary Tables S6, S7, S8) and Figure 2 classification</t>
  </si>
  <si>
    <t>Monte Carlo outputs</t>
  </si>
  <si>
    <t>1. Table S6 — downscaled per-capita boundary (N = 1,000)</t>
  </si>
  <si>
    <t>4. Figure 2 — performance (P), trend (T) and confidence (C)</t>
  </si>
  <si>
    <t>DWF (Table 4)</t>
  </si>
  <si>
    <t>P: performance</t>
  </si>
  <si>
    <t>T: trend 2025→2100</t>
  </si>
  <si>
    <t>C: confidence</t>
  </si>
  <si>
    <t>Climate</t>
  </si>
  <si>
    <t>t CO₂eq cap⁻¹</t>
  </si>
  <si>
    <t>Cropland</t>
  </si>
  <si>
    <t>m² cap⁻¹</t>
  </si>
  <si>
    <t>Freshwater</t>
  </si>
  <si>
    <t>m³ cap⁻¹</t>
  </si>
  <si>
    <t>kg N cap⁻¹</t>
  </si>
  <si>
    <t>kg P cap⁻¹</t>
  </si>
  <si>
    <t>2. Table S7 — pressure-to-boundary ratio (N = 2,000)</t>
  </si>
  <si>
    <t>P: &lt; 1 safe; 1–2 zone of uncertainty; &gt; 2 high risk. T: rapid if DWF rises by &gt; 1 between 2025 and 2100. C: share of Monte Carlo draws agreeing with the deterministic status (≥ 95% high, 80–95% medium, &lt; 80% low).</t>
  </si>
  <si>
    <t>3. Table S8 — required cereal land / boundary-compliant cereal land (Eq. 8; N = 2,000; boundary and θ drawn jointly)</t>
  </si>
  <si>
    <t>Workbook index — link between sheets and the manuscript / Supplementary Material</t>
  </si>
  <si>
    <t>Sheet</t>
  </si>
  <si>
    <t>Supports</t>
  </si>
  <si>
    <t>Sheet1</t>
  </si>
  <si>
    <t>Land-use areas 1975–2025 (Supplementary Figure S3; Section 3.1.5)</t>
  </si>
  <si>
    <t>Sheet2</t>
  </si>
  <si>
    <t>Fertilizer use by crop (Supplementary Table S2, Figure S2; Sections 3.1.3 and 3.1.4).</t>
  </si>
  <si>
    <t>PopulationTrajectory</t>
  </si>
  <si>
    <t>Population, 2025–2100 (Supplementary Table S1)</t>
  </si>
  <si>
    <t>LandSystemChange_Agri</t>
  </si>
  <si>
    <t>Agricultural-land boundary 10.30 Mha and ratio 1.16; cropland ratio 1.21 (Section 3.1.5)</t>
  </si>
  <si>
    <t>LiteratureReview</t>
  </si>
  <si>
    <t>Comparison of downscaling studies (Introduction)</t>
  </si>
  <si>
    <t>MultiPrincipleDownscaling</t>
  </si>
  <si>
    <t>Sharing-principle ASRs (Section 3.2, Figure 6; Supplementary Table S3), pooled Monte Carlo (Figure 8, Figures S6 and S7, Table S9)</t>
  </si>
  <si>
    <t>Table4_DNF_DWF</t>
  </si>
  <si>
    <t>Table 4 and Figure 3 values, with a check against the published table. N and P boundaries on 6.0 Mha</t>
  </si>
  <si>
    <t>FoodSecurity_Land</t>
  </si>
  <si>
    <t>Required production M and whole-cropland (lower-bound) test, Section 2.6 and 3.3</t>
  </si>
  <si>
    <t>FoodSecurity_Cereal</t>
  </si>
  <si>
    <t>Cereal-specific test (Eq. 8): Table 5, Figure 7, Supplementary Tables S5 and S8; World Bank cereal series</t>
  </si>
  <si>
    <t>MonteCarlo_Robustness</t>
  </si>
  <si>
    <t>Supplementary Tables S6, S7, S8; Figure 2 P/T/C symbols; Section 3.4</t>
  </si>
  <si>
    <t>Row Labels</t>
  </si>
  <si>
    <t>Grand Total</t>
  </si>
  <si>
    <t xml:space="preserve">FoodSecurity_Cereal!B20: World Bank mean 2019–2023 (FAO data), 1.188 rounded to 1.19.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</si>
</sst>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2">
    <font>
      <sz val="12"/>
      <color theme="1"/>
      <name val="Aptos Narrow"/>
      <family val="2"/>
      <charset val="136"/>
    </font>
    <font>
      <b/>
      <sz val="12"/>
      <color theme="1"/>
      <name val="Aptos Narrow"/>
      <family val="2"/>
      <charset val="136"/>
    </font>
    <font>
      <sz val="12"/>
      <color theme="1"/>
      <name val="Noto Sans CJK SC"/>
      <family val="2"/>
    </font>
    <font>
      <sz val="12"/>
      <color theme="1"/>
      <name val="Aptos"/>
      <family val="2"/>
      <charset val="1"/>
    </font>
    <font>
      <i/>
      <sz val="9"/>
      <color rgb="FFC00000"/>
      <name val="Aptos Narrow"/>
      <charset val="1"/>
    </font>
    <font>
      <b/>
      <sz val="16"/>
      <color rgb="FF145996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i/>
      <sz val="13"/>
      <color rgb="FFFFFFFF"/>
      <name val="Arial"/>
      <family val="2"/>
      <charset val="1"/>
    </font>
    <font>
      <b/>
      <sz val="13"/>
      <color rgb="FF145996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theme="1"/>
      <name val="Aptos Narrow"/>
      <family val="2"/>
      <charset val="1"/>
    </font>
    <font>
      <b/>
      <sz val="12"/>
      <color rgb="FFFF0000"/>
      <name val="Aptos Narrow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2"/>
      <color rgb="FFC00000"/>
      <name val="Aptos Narrow"/>
      <family val="2"/>
      <charset val="1"/>
    </font>
    <font>
      <b/>
      <sz val="13"/>
      <name val="Aptos Narrow"/>
      <charset val="1"/>
    </font>
    <font>
      <b/>
      <sz val="11"/>
      <name val="Aptos Narrow"/>
      <charset val="1"/>
    </font>
    <font>
      <b/>
      <sz val="12"/>
      <name val="Aptos Narrow"/>
      <charset val="1"/>
    </font>
    <font>
      <i/>
      <sz val="9"/>
      <name val="Aptos Narrow"/>
      <charset val="1"/>
    </font>
    <font>
      <sz val="12"/>
      <name val="Aptos Narrow"/>
      <family val="2"/>
      <charset val="1"/>
    </font>
    <font>
      <i/>
      <sz val="9"/>
      <name val="Aptos Narrow"/>
      <family val="2"/>
      <charset val="1"/>
    </font>
    <font>
      <sz val="10"/>
      <name val="Aptos Narrow"/>
      <charset val="1"/>
    </font>
    <font>
      <sz val="10"/>
      <name val="Aptos Narrow"/>
      <family val="2"/>
      <charset val="1"/>
    </font>
    <font>
      <sz val="12"/>
      <name val="Aptos Narrow"/>
      <charset val="1"/>
    </font>
    <font>
      <i/>
      <sz val="10"/>
      <name val="Aptos Narrow"/>
      <charset val="1"/>
    </font>
    <font>
      <sz val="12"/>
      <color rgb="FF0000FF"/>
      <name val="Aptos Narrow"/>
      <family val="2"/>
      <charset val="1"/>
    </font>
    <font>
      <sz val="12"/>
      <color rgb="FF000000"/>
      <name val="Aptos Narrow"/>
      <charset val="1"/>
    </font>
    <font>
      <sz val="12"/>
      <color rgb="FF0000FF"/>
      <name val="Aptos Narrow"/>
      <charset val="1"/>
    </font>
    <font>
      <sz val="12"/>
      <color theme="1"/>
      <name val="Aptos Narrow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145996"/>
        <bgColor rgb="FF156082"/>
      </patternFill>
    </fill>
    <fill>
      <patternFill patternType="solid">
        <fgColor theme="0"/>
        <bgColor rgb="FFEDF5FD"/>
      </patternFill>
    </fill>
    <fill>
      <patternFill patternType="solid">
        <fgColor rgb="FFEDF5FD"/>
        <bgColor rgb="FFFFFFFF"/>
      </patternFill>
    </fill>
    <fill>
      <patternFill patternType="solid">
        <fgColor rgb="FFD9D9D9"/>
        <bgColor rgb="FFBFBFBF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082BE"/>
      </left>
      <right style="double">
        <color rgb="FF3082BE"/>
      </right>
      <top style="double">
        <color rgb="FF3082BE"/>
      </top>
      <bottom/>
      <diagonal/>
    </border>
    <border>
      <left/>
      <right style="double">
        <color rgb="FF3082BE"/>
      </right>
      <top/>
      <bottom style="double">
        <color rgb="FF3082BE"/>
      </bottom>
      <diagonal/>
    </border>
    <border>
      <left style="double">
        <color rgb="FF3082BE"/>
      </left>
      <right style="double">
        <color rgb="FF3082BE"/>
      </right>
      <top/>
      <bottom style="double">
        <color rgb="FF3082BE"/>
      </bottom>
      <diagonal/>
    </border>
    <border>
      <left style="double">
        <color rgb="FF3082BE"/>
      </left>
      <right style="double">
        <color rgb="FF3082BE"/>
      </right>
      <top/>
      <bottom/>
      <diagonal/>
    </border>
    <border>
      <left style="double">
        <color rgb="FF3082BE"/>
      </left>
      <right style="double">
        <color rgb="FF3082BE"/>
      </right>
      <top style="double">
        <color rgb="FF3082BE"/>
      </top>
      <bottom style="double">
        <color rgb="FF3082BE"/>
      </bottom>
      <diagonal/>
    </border>
    <border>
      <left style="double">
        <color rgb="FF3082BE"/>
      </left>
      <right/>
      <top style="double">
        <color rgb="FF3082BE"/>
      </top>
      <bottom style="double">
        <color rgb="FF3082BE"/>
      </bottom>
      <diagonal/>
    </border>
    <border>
      <left style="double">
        <color rgb="FF3082BE"/>
      </left>
      <right style="thin">
        <color rgb="FF145996"/>
      </right>
      <top style="double">
        <color rgb="FF3082BE"/>
      </top>
      <bottom style="double">
        <color rgb="FF3082BE"/>
      </bottom>
      <diagonal/>
    </border>
    <border>
      <left/>
      <right/>
      <top style="double">
        <color rgb="FF3082BE"/>
      </top>
      <bottom style="double">
        <color rgb="FF3082BE"/>
      </bottom>
      <diagonal/>
    </border>
    <border>
      <left style="thin">
        <color rgb="FF3082BE"/>
      </left>
      <right style="thin">
        <color rgb="FF3082BE"/>
      </right>
      <top style="double">
        <color rgb="FF3082BE"/>
      </top>
      <bottom style="double">
        <color rgb="FF3082BE"/>
      </bottom>
      <diagonal/>
    </border>
    <border>
      <left style="double">
        <color rgb="FF3082BE"/>
      </left>
      <right style="thin">
        <color rgb="FF3082BE"/>
      </right>
      <top style="double">
        <color rgb="FF3082BE"/>
      </top>
      <bottom style="double">
        <color rgb="FF3082BE"/>
      </bottom>
      <diagonal/>
    </border>
    <border>
      <left/>
      <right style="double">
        <color rgb="FF3082BE"/>
      </right>
      <top style="double">
        <color rgb="FF3082BE"/>
      </top>
      <bottom style="double">
        <color rgb="FF3082BE"/>
      </bottom>
      <diagonal/>
    </border>
    <border>
      <left style="thin">
        <color rgb="FF3082BE"/>
      </left>
      <right style="double">
        <color rgb="FF3082BE"/>
      </right>
      <top style="double">
        <color rgb="FF3082BE"/>
      </top>
      <bottom style="double">
        <color rgb="FF3082BE"/>
      </bottom>
      <diagonal/>
    </border>
    <border>
      <left style="thin">
        <color rgb="FF3082BE"/>
      </left>
      <right/>
      <top style="double">
        <color rgb="FF3082BE"/>
      </top>
      <bottom style="double">
        <color rgb="FF3082BE"/>
      </bottom>
      <diagonal/>
    </border>
    <border>
      <left style="double">
        <color rgb="FF3082BE"/>
      </left>
      <right/>
      <top/>
      <bottom/>
      <diagonal/>
    </border>
    <border>
      <left style="double">
        <color rgb="FF3082BE"/>
      </left>
      <right style="thin">
        <color rgb="FF3082BE"/>
      </right>
      <top style="double">
        <color rgb="FF3082BE"/>
      </top>
      <bottom/>
      <diagonal/>
    </border>
    <border>
      <left style="thin">
        <color rgb="FF3082BE"/>
      </left>
      <right style="thin">
        <color rgb="FF3082BE"/>
      </right>
      <top style="double">
        <color rgb="FF3082BE"/>
      </top>
      <bottom/>
      <diagonal/>
    </border>
    <border>
      <left style="thin">
        <color rgb="FF3082BE"/>
      </left>
      <right style="double">
        <color rgb="FF3082BE"/>
      </right>
      <top style="double">
        <color rgb="FF3082BE"/>
      </top>
      <bottom/>
      <diagonal/>
    </border>
    <border>
      <left style="thin">
        <color rgb="FF3082BE"/>
      </left>
      <right style="thin">
        <color rgb="FF3082BE"/>
      </right>
      <top/>
      <bottom/>
      <diagonal/>
    </border>
    <border>
      <left/>
      <right style="double">
        <color rgb="FF3082BE"/>
      </right>
      <top/>
      <bottom/>
      <diagonal/>
    </border>
    <border>
      <left style="double">
        <color rgb="FF3082BE"/>
      </left>
      <right style="thin">
        <color rgb="FF145996"/>
      </right>
      <top/>
      <bottom/>
      <diagonal/>
    </border>
    <border>
      <left style="thin">
        <color rgb="FF145996"/>
      </left>
      <right style="thin">
        <color rgb="FF145996"/>
      </right>
      <top/>
      <bottom/>
      <diagonal/>
    </border>
    <border>
      <left style="thin">
        <color rgb="FF145996"/>
      </left>
      <right/>
      <top/>
      <bottom/>
      <diagonal/>
    </border>
    <border>
      <left style="thin">
        <color rgb="FF145996"/>
      </left>
      <right style="double">
        <color rgb="FF3082BE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rgb="FF3082BE"/>
      </left>
      <right style="thin">
        <color rgb="FF3082BE"/>
      </right>
      <top/>
      <bottom/>
      <diagonal/>
    </border>
    <border>
      <left style="thin">
        <color rgb="FF3082BE"/>
      </left>
      <right style="double">
        <color rgb="FF3082BE"/>
      </right>
      <top/>
      <bottom/>
      <diagonal/>
    </border>
    <border>
      <left style="thin">
        <color rgb="FF3082BE"/>
      </left>
      <right/>
      <top/>
      <bottom/>
      <diagonal/>
    </border>
    <border>
      <left/>
      <right style="thin">
        <color rgb="FF3082BE"/>
      </right>
      <top style="double">
        <color rgb="FF3082BE"/>
      </top>
      <bottom style="double">
        <color rgb="FF3082BE"/>
      </bottom>
      <diagonal/>
    </border>
    <border>
      <left/>
      <right/>
      <top style="double">
        <color rgb="FF3082BE"/>
      </top>
      <bottom/>
      <diagonal/>
    </border>
    <border>
      <left style="thin">
        <color rgb="FF145996"/>
      </left>
      <right style="thin">
        <color rgb="FF145996"/>
      </right>
      <top style="double">
        <color rgb="FF3082BE"/>
      </top>
      <bottom style="double">
        <color rgb="FF3082BE"/>
      </bottom>
      <diagonal/>
    </border>
    <border>
      <left style="thin">
        <color rgb="FF145996"/>
      </left>
      <right/>
      <top style="double">
        <color rgb="FF3082BE"/>
      </top>
      <bottom style="double">
        <color rgb="FF3082BE"/>
      </bottom>
      <diagonal/>
    </border>
    <border>
      <left style="thin">
        <color rgb="FF145996"/>
      </left>
      <right style="double">
        <color rgb="FF3082BE"/>
      </right>
      <top style="double">
        <color rgb="FF3082BE"/>
      </top>
      <bottom style="double">
        <color rgb="FF3082B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8">
    <xf numFmtId="0" fontId="0" fillId="0" borderId="0">
      <alignment vertical="center"/>
    </xf>
    <xf numFmtId="9" fontId="31" fillId="0" borderId="0"/>
    <xf numFmtId="0" fontId="31" fillId="0" borderId="0" applyBorder="0" applyProtection="0">
      <alignment vertical="center"/>
    </xf>
    <xf numFmtId="0" fontId="31" fillId="0" borderId="0" applyBorder="0" applyProtection="0">
      <alignment vertical="center"/>
    </xf>
    <xf numFmtId="0" fontId="31" fillId="0" borderId="0" applyBorder="0" applyProtection="0">
      <alignment vertical="center"/>
    </xf>
    <xf numFmtId="0" fontId="31" fillId="0" borderId="0" applyBorder="0" applyProtection="0">
      <alignment horizontal="left" vertical="center"/>
    </xf>
    <xf numFmtId="0" fontId="1" fillId="0" borderId="0" applyBorder="0" applyProtection="0">
      <alignment horizontal="left" vertical="center"/>
    </xf>
    <xf numFmtId="0" fontId="1" fillId="0" borderId="0" applyBorder="0" applyProtection="0">
      <alignment vertical="center"/>
    </xf>
  </cellStyleXfs>
  <cellXfs count="145">
    <xf numFmtId="0" fontId="0" fillId="0" borderId="0" xfId="0">
      <alignment vertic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0" fillId="0" borderId="0" xfId="2" applyFont="1">
      <alignment vertical="center"/>
    </xf>
    <xf numFmtId="49" fontId="0" fillId="0" borderId="1" xfId="0" applyNumberFormat="1" applyFont="1" applyBorder="1">
      <alignment vertical="center"/>
    </xf>
    <xf numFmtId="0" fontId="0" fillId="0" borderId="2" xfId="2" applyFont="1" applyBorder="1">
      <alignment vertical="center"/>
    </xf>
    <xf numFmtId="0" fontId="2" fillId="0" borderId="3" xfId="3" applyFont="1" applyBorder="1">
      <alignment vertical="center"/>
    </xf>
    <xf numFmtId="0" fontId="0" fillId="0" borderId="4" xfId="5" applyFont="1" applyBorder="1">
      <alignment horizontal="left" vertical="center"/>
    </xf>
    <xf numFmtId="0" fontId="31" fillId="0" borderId="5" xfId="4" applyBorder="1">
      <alignment vertical="center"/>
    </xf>
    <xf numFmtId="0" fontId="0" fillId="0" borderId="6" xfId="5" applyFont="1" applyBorder="1">
      <alignment horizontal="left" vertical="center"/>
    </xf>
    <xf numFmtId="0" fontId="31" fillId="0" borderId="7" xfId="4" applyBorder="1">
      <alignment vertical="center"/>
    </xf>
    <xf numFmtId="0" fontId="31" fillId="0" borderId="8" xfId="4" applyBorder="1">
      <alignment vertical="center"/>
    </xf>
    <xf numFmtId="0" fontId="1" fillId="0" borderId="9" xfId="6" applyFont="1" applyBorder="1">
      <alignment horizontal="left" vertical="center"/>
    </xf>
    <xf numFmtId="0" fontId="1" fillId="0" borderId="10" xfId="7" applyBorder="1">
      <alignment vertical="center"/>
    </xf>
    <xf numFmtId="4" fontId="3" fillId="0" borderId="0" xfId="0" applyNumberFormat="1" applyFont="1" applyAlignment="1">
      <alignment vertical="center"/>
    </xf>
    <xf numFmtId="0" fontId="0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15" xfId="0" applyFont="1" applyFill="1" applyBorder="1" applyAlignment="1">
      <alignment horizontal="left" vertical="center" indent="1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left" vertical="center" indent="1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28" xfId="0" applyFont="1" applyFill="1" applyBorder="1" applyAlignment="1">
      <alignment horizontal="right"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left" indent="1"/>
    </xf>
    <xf numFmtId="3" fontId="12" fillId="3" borderId="35" xfId="0" applyNumberFormat="1" applyFont="1" applyFill="1" applyBorder="1" applyAlignment="1">
      <alignment horizontal="right" vertical="center" indent="1"/>
    </xf>
    <xf numFmtId="3" fontId="12" fillId="3" borderId="28" xfId="0" applyNumberFormat="1" applyFont="1" applyFill="1" applyBorder="1" applyAlignment="1">
      <alignment horizontal="right" vertical="center" indent="1"/>
    </xf>
    <xf numFmtId="3" fontId="12" fillId="3" borderId="36" xfId="0" applyNumberFormat="1" applyFont="1" applyFill="1" applyBorder="1" applyAlignment="1">
      <alignment horizontal="right" vertical="center" indent="1"/>
    </xf>
    <xf numFmtId="1" fontId="11" fillId="3" borderId="24" xfId="0" applyNumberFormat="1" applyFont="1" applyFill="1" applyBorder="1" applyAlignment="1">
      <alignment horizontal="right" vertical="center" indent="1"/>
    </xf>
    <xf numFmtId="1" fontId="11" fillId="3" borderId="28" xfId="0" applyNumberFormat="1" applyFont="1" applyFill="1" applyBorder="1" applyAlignment="1">
      <alignment horizontal="right" vertical="center" indent="1"/>
    </xf>
    <xf numFmtId="1" fontId="11" fillId="3" borderId="0" xfId="0" applyNumberFormat="1" applyFont="1" applyFill="1" applyAlignment="1">
      <alignment horizontal="right" vertical="center" indent="1"/>
    </xf>
    <xf numFmtId="1" fontId="11" fillId="3" borderId="30" xfId="0" applyNumberFormat="1" applyFont="1" applyFill="1" applyBorder="1" applyAlignment="1">
      <alignment horizontal="right" vertical="center" indent="1"/>
    </xf>
    <xf numFmtId="1" fontId="11" fillId="3" borderId="31" xfId="0" applyNumberFormat="1" applyFont="1" applyFill="1" applyBorder="1" applyAlignment="1">
      <alignment horizontal="right" vertical="center" indent="1"/>
    </xf>
    <xf numFmtId="1" fontId="11" fillId="3" borderId="32" xfId="0" applyNumberFormat="1" applyFont="1" applyFill="1" applyBorder="1" applyAlignment="1">
      <alignment horizontal="right" vertical="center" indent="1"/>
    </xf>
    <xf numFmtId="9" fontId="11" fillId="3" borderId="30" xfId="1" applyFont="1" applyFill="1" applyBorder="1" applyAlignment="1">
      <alignment horizontal="right" indent="1"/>
    </xf>
    <xf numFmtId="9" fontId="11" fillId="3" borderId="31" xfId="1" applyFont="1" applyFill="1" applyBorder="1" applyAlignment="1">
      <alignment horizontal="right" indent="1"/>
    </xf>
    <xf numFmtId="9" fontId="11" fillId="3" borderId="32" xfId="1" applyFont="1" applyFill="1" applyBorder="1" applyAlignment="1">
      <alignment horizontal="right" indent="1"/>
    </xf>
    <xf numFmtId="9" fontId="11" fillId="3" borderId="33" xfId="1" applyFont="1" applyFill="1" applyBorder="1" applyAlignment="1">
      <alignment horizontal="right" indent="1"/>
    </xf>
    <xf numFmtId="0" fontId="11" fillId="4" borderId="34" xfId="0" applyFont="1" applyFill="1" applyBorder="1" applyAlignment="1">
      <alignment horizontal="left" indent="1"/>
    </xf>
    <xf numFmtId="3" fontId="12" fillId="4" borderId="35" xfId="0" applyNumberFormat="1" applyFont="1" applyFill="1" applyBorder="1" applyAlignment="1">
      <alignment horizontal="right" vertical="center" indent="1"/>
    </xf>
    <xf numFmtId="3" fontId="12" fillId="4" borderId="28" xfId="0" applyNumberFormat="1" applyFont="1" applyFill="1" applyBorder="1" applyAlignment="1">
      <alignment horizontal="right" vertical="center" indent="1"/>
    </xf>
    <xf numFmtId="3" fontId="12" fillId="4" borderId="36" xfId="0" applyNumberFormat="1" applyFont="1" applyFill="1" applyBorder="1" applyAlignment="1">
      <alignment horizontal="right" vertical="center" indent="1"/>
    </xf>
    <xf numFmtId="1" fontId="11" fillId="4" borderId="24" xfId="0" applyNumberFormat="1" applyFont="1" applyFill="1" applyBorder="1" applyAlignment="1">
      <alignment horizontal="right" vertical="center" indent="1"/>
    </xf>
    <xf numFmtId="1" fontId="11" fillId="4" borderId="28" xfId="0" applyNumberFormat="1" applyFont="1" applyFill="1" applyBorder="1" applyAlignment="1">
      <alignment horizontal="right" vertical="center" indent="1"/>
    </xf>
    <xf numFmtId="1" fontId="11" fillId="4" borderId="0" xfId="0" applyNumberFormat="1" applyFont="1" applyFill="1" applyAlignment="1">
      <alignment horizontal="right" vertical="center" indent="1"/>
    </xf>
    <xf numFmtId="1" fontId="11" fillId="4" borderId="30" xfId="0" applyNumberFormat="1" applyFont="1" applyFill="1" applyBorder="1" applyAlignment="1">
      <alignment horizontal="right" vertical="center" indent="1"/>
    </xf>
    <xf numFmtId="1" fontId="11" fillId="4" borderId="31" xfId="0" applyNumberFormat="1" applyFont="1" applyFill="1" applyBorder="1" applyAlignment="1">
      <alignment horizontal="right" vertical="center" indent="1"/>
    </xf>
    <xf numFmtId="1" fontId="11" fillId="4" borderId="32" xfId="0" applyNumberFormat="1" applyFont="1" applyFill="1" applyBorder="1" applyAlignment="1">
      <alignment horizontal="right" vertical="center" indent="1"/>
    </xf>
    <xf numFmtId="9" fontId="11" fillId="4" borderId="30" xfId="1" applyFont="1" applyFill="1" applyBorder="1" applyAlignment="1">
      <alignment horizontal="right" indent="1"/>
    </xf>
    <xf numFmtId="9" fontId="11" fillId="4" borderId="31" xfId="1" applyFont="1" applyFill="1" applyBorder="1" applyAlignment="1">
      <alignment horizontal="right" indent="1"/>
    </xf>
    <xf numFmtId="9" fontId="11" fillId="4" borderId="32" xfId="1" applyFont="1" applyFill="1" applyBorder="1" applyAlignment="1">
      <alignment horizontal="right" indent="1"/>
    </xf>
    <xf numFmtId="9" fontId="11" fillId="4" borderId="33" xfId="1" applyFont="1" applyFill="1" applyBorder="1" applyAlignment="1">
      <alignment horizontal="right" indent="1"/>
    </xf>
    <xf numFmtId="0" fontId="11" fillId="3" borderId="24" xfId="0" applyFont="1" applyFill="1" applyBorder="1" applyAlignment="1">
      <alignment horizontal="left" vertical="center" indent="1"/>
    </xf>
    <xf numFmtId="3" fontId="11" fillId="3" borderId="35" xfId="0" applyNumberFormat="1" applyFont="1" applyFill="1" applyBorder="1" applyAlignment="1">
      <alignment horizontal="right" indent="2"/>
    </xf>
    <xf numFmtId="3" fontId="11" fillId="3" borderId="28" xfId="0" applyNumberFormat="1" applyFont="1" applyFill="1" applyBorder="1" applyAlignment="1">
      <alignment horizontal="right" indent="2"/>
    </xf>
    <xf numFmtId="3" fontId="11" fillId="3" borderId="36" xfId="0" applyNumberFormat="1" applyFont="1" applyFill="1" applyBorder="1" applyAlignment="1">
      <alignment horizontal="right" indent="2"/>
    </xf>
    <xf numFmtId="3" fontId="11" fillId="3" borderId="24" xfId="0" applyNumberFormat="1" applyFont="1" applyFill="1" applyBorder="1" applyAlignment="1">
      <alignment horizontal="right" indent="2"/>
    </xf>
    <xf numFmtId="3" fontId="11" fillId="3" borderId="29" xfId="0" applyNumberFormat="1" applyFont="1" applyFill="1" applyBorder="1" applyAlignment="1">
      <alignment horizontal="right" indent="2"/>
    </xf>
    <xf numFmtId="3" fontId="11" fillId="3" borderId="0" xfId="0" applyNumberFormat="1" applyFont="1" applyFill="1" applyAlignment="1">
      <alignment horizontal="right" indent="2"/>
    </xf>
    <xf numFmtId="1" fontId="11" fillId="3" borderId="35" xfId="0" applyNumberFormat="1" applyFont="1" applyFill="1" applyBorder="1" applyAlignment="1">
      <alignment horizontal="right" vertical="center" indent="1"/>
    </xf>
    <xf numFmtId="1" fontId="11" fillId="3" borderId="37" xfId="0" applyNumberFormat="1" applyFont="1" applyFill="1" applyBorder="1" applyAlignment="1">
      <alignment horizontal="right" vertical="center" indent="1"/>
    </xf>
    <xf numFmtId="9" fontId="11" fillId="3" borderId="35" xfId="1" applyFont="1" applyFill="1" applyBorder="1" applyAlignment="1">
      <alignment horizontal="right" indent="1"/>
    </xf>
    <xf numFmtId="9" fontId="11" fillId="3" borderId="28" xfId="1" applyFont="1" applyFill="1" applyBorder="1" applyAlignment="1">
      <alignment horizontal="right" indent="1"/>
    </xf>
    <xf numFmtId="9" fontId="11" fillId="3" borderId="37" xfId="1" applyFont="1" applyFill="1" applyBorder="1" applyAlignment="1">
      <alignment horizontal="right" indent="1"/>
    </xf>
    <xf numFmtId="9" fontId="11" fillId="3" borderId="36" xfId="1" applyFont="1" applyFill="1" applyBorder="1" applyAlignment="1">
      <alignment horizontal="right" indent="1"/>
    </xf>
    <xf numFmtId="0" fontId="10" fillId="3" borderId="16" xfId="0" applyFont="1" applyFill="1" applyBorder="1" applyAlignment="1">
      <alignment horizontal="left" vertical="center" indent="1"/>
    </xf>
    <xf numFmtId="3" fontId="10" fillId="3" borderId="20" xfId="0" applyNumberFormat="1" applyFont="1" applyFill="1" applyBorder="1" applyAlignment="1">
      <alignment horizontal="right" vertical="center" indent="1"/>
    </xf>
    <xf numFmtId="3" fontId="10" fillId="3" borderId="19" xfId="0" applyNumberFormat="1" applyFont="1" applyFill="1" applyBorder="1" applyAlignment="1">
      <alignment horizontal="right" vertical="center" indent="1"/>
    </xf>
    <xf numFmtId="3" fontId="10" fillId="3" borderId="23" xfId="0" applyNumberFormat="1" applyFont="1" applyFill="1" applyBorder="1" applyAlignment="1">
      <alignment horizontal="right" vertical="center" indent="1"/>
    </xf>
    <xf numFmtId="3" fontId="10" fillId="3" borderId="22" xfId="0" applyNumberFormat="1" applyFont="1" applyFill="1" applyBorder="1" applyAlignment="1">
      <alignment horizontal="right" vertical="center" indent="1"/>
    </xf>
    <xf numFmtId="3" fontId="10" fillId="3" borderId="38" xfId="0" applyNumberFormat="1" applyFont="1" applyFill="1" applyBorder="1" applyAlignment="1">
      <alignment horizontal="right" vertical="center" indent="1"/>
    </xf>
    <xf numFmtId="0" fontId="11" fillId="3" borderId="39" xfId="0" applyFont="1" applyFill="1" applyBorder="1" applyAlignment="1">
      <alignment horizontal="right" vertical="center"/>
    </xf>
    <xf numFmtId="9" fontId="10" fillId="3" borderId="17" xfId="0" applyNumberFormat="1" applyFont="1" applyFill="1" applyBorder="1" applyAlignment="1">
      <alignment horizontal="right" vertical="center" indent="1"/>
    </xf>
    <xf numFmtId="9" fontId="10" fillId="3" borderId="40" xfId="0" applyNumberFormat="1" applyFont="1" applyFill="1" applyBorder="1" applyAlignment="1">
      <alignment horizontal="right" vertical="center" indent="1"/>
    </xf>
    <xf numFmtId="9" fontId="10" fillId="3" borderId="41" xfId="0" applyNumberFormat="1" applyFont="1" applyFill="1" applyBorder="1" applyAlignment="1">
      <alignment horizontal="right" vertical="center" indent="1"/>
    </xf>
    <xf numFmtId="9" fontId="10" fillId="3" borderId="42" xfId="0" applyNumberFormat="1" applyFont="1" applyFill="1" applyBorder="1" applyAlignment="1">
      <alignment horizontal="right" vertical="center"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3" borderId="0" xfId="0" applyFont="1" applyFill="1" applyAlignment="1"/>
    <xf numFmtId="0" fontId="16" fillId="3" borderId="0" xfId="0" applyFont="1" applyFill="1" applyAlignment="1"/>
    <xf numFmtId="0" fontId="16" fillId="0" borderId="0" xfId="0" applyFont="1" applyAlignment="1"/>
    <xf numFmtId="0" fontId="17" fillId="0" borderId="0" xfId="0" applyFont="1" applyAlignment="1">
      <alignment vertical="center"/>
    </xf>
    <xf numFmtId="0" fontId="15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0" fillId="5" borderId="0" xfId="0" applyFont="1" applyFill="1" applyAlignment="1"/>
    <xf numFmtId="0" fontId="22" fillId="0" borderId="0" xfId="0" applyFont="1" applyAlignment="1"/>
    <xf numFmtId="0" fontId="19" fillId="0" borderId="43" xfId="0" applyFont="1" applyBorder="1" applyAlignment="1">
      <alignment horizontal="center" vertical="center" wrapText="1"/>
    </xf>
    <xf numFmtId="0" fontId="24" fillId="0" borderId="43" xfId="0" applyFont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6" fillId="0" borderId="0" xfId="0" applyFont="1" applyAlignment="1"/>
    <xf numFmtId="0" fontId="27" fillId="0" borderId="0" xfId="0" applyFont="1" applyAlignment="1"/>
    <xf numFmtId="3" fontId="0" fillId="0" borderId="0" xfId="0" applyNumberFormat="1" applyFont="1" applyAlignment="1">
      <alignment vertical="center"/>
    </xf>
    <xf numFmtId="3" fontId="28" fillId="0" borderId="0" xfId="0" applyNumberFormat="1" applyFont="1" applyAlignment="1">
      <alignment vertical="center"/>
    </xf>
    <xf numFmtId="164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3" fontId="29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2" fontId="28" fillId="0" borderId="0" xfId="0" applyNumberFormat="1" applyFont="1" applyAlignment="1">
      <alignment vertical="center"/>
    </xf>
    <xf numFmtId="2" fontId="29" fillId="0" borderId="0" xfId="0" applyNumberFormat="1" applyFont="1" applyAlignment="1">
      <alignment vertical="center"/>
    </xf>
    <xf numFmtId="165" fontId="0" fillId="0" borderId="0" xfId="0" applyNumberFormat="1" applyFont="1" applyAlignment="1">
      <alignment vertical="center"/>
    </xf>
    <xf numFmtId="0" fontId="24" fillId="0" borderId="0" xfId="0" applyFont="1" applyAlignment="1"/>
    <xf numFmtId="1" fontId="30" fillId="0" borderId="0" xfId="0" applyNumberFormat="1" applyFont="1" applyAlignment="1">
      <alignment horizontal="left"/>
    </xf>
    <xf numFmtId="3" fontId="30" fillId="0" borderId="0" xfId="0" applyNumberFormat="1" applyFont="1" applyAlignment="1"/>
    <xf numFmtId="166" fontId="30" fillId="0" borderId="0" xfId="0" applyNumberFormat="1" applyFont="1" applyAlignment="1"/>
    <xf numFmtId="3" fontId="26" fillId="0" borderId="0" xfId="0" applyNumberFormat="1" applyFont="1" applyAlignment="1"/>
    <xf numFmtId="10" fontId="26" fillId="0" borderId="0" xfId="0" applyNumberFormat="1" applyFont="1" applyAlignment="1"/>
    <xf numFmtId="3" fontId="20" fillId="0" borderId="0" xfId="0" applyNumberFormat="1" applyFont="1" applyAlignment="1"/>
    <xf numFmtId="166" fontId="20" fillId="0" borderId="0" xfId="0" applyNumberFormat="1" applyFont="1" applyAlignment="1"/>
    <xf numFmtId="2" fontId="26" fillId="0" borderId="0" xfId="0" applyNumberFormat="1" applyFont="1" applyAlignment="1"/>
    <xf numFmtId="164" fontId="26" fillId="0" borderId="0" xfId="0" applyNumberFormat="1" applyFont="1" applyAlignment="1"/>
    <xf numFmtId="2" fontId="30" fillId="0" borderId="0" xfId="0" applyNumberFormat="1" applyFont="1" applyAlignment="1"/>
    <xf numFmtId="1" fontId="20" fillId="0" borderId="0" xfId="0" applyNumberFormat="1" applyFont="1" applyAlignment="1"/>
    <xf numFmtId="9" fontId="26" fillId="0" borderId="0" xfId="0" applyNumberFormat="1" applyFont="1" applyAlignment="1"/>
    <xf numFmtId="0" fontId="20" fillId="0" borderId="0" xfId="0" applyFont="1" applyAlignment="1">
      <alignment vertical="top" wrapText="1"/>
    </xf>
    <xf numFmtId="1" fontId="26" fillId="0" borderId="0" xfId="0" applyNumberFormat="1" applyFont="1" applyAlignment="1"/>
    <xf numFmtId="0" fontId="4" fillId="0" borderId="0" xfId="0" applyFont="1" applyBorder="1" applyAlignment="1">
      <alignment vertical="top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top"/>
    </xf>
    <xf numFmtId="0" fontId="7" fillId="2" borderId="14" xfId="0" applyFont="1" applyFill="1" applyBorder="1" applyAlignment="1">
      <alignment horizontal="center" vertical="top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top" wrapText="1"/>
    </xf>
    <xf numFmtId="0" fontId="20" fillId="0" borderId="0" xfId="0" applyFont="1" applyBorder="1" applyAlignment="1">
      <alignment vertical="top" wrapText="1"/>
    </xf>
    <xf numFmtId="0" fontId="18" fillId="0" borderId="0" xfId="0" applyFont="1" applyBorder="1" applyAlignment="1">
      <alignment wrapText="1"/>
    </xf>
    <xf numFmtId="0" fontId="21" fillId="0" borderId="0" xfId="0" applyFont="1" applyBorder="1" applyAlignment="1">
      <alignment vertical="top" wrapText="1"/>
    </xf>
  </cellXfs>
  <cellStyles count="8">
    <cellStyle name="Normal" xfId="0" builtinId="0"/>
    <cellStyle name="Percent" xfId="1" builtinId="5"/>
    <cellStyle name="Pivot Table Category" xfId="5" xr:uid="{00000000-0005-0000-0000-000009000000}"/>
    <cellStyle name="Pivot Table Corner" xfId="3" xr:uid="{00000000-0005-0000-0000-000007000000}"/>
    <cellStyle name="Pivot Table Field" xfId="2" xr:uid="{00000000-0005-0000-0000-000006000000}"/>
    <cellStyle name="Pivot Table Result" xfId="7" xr:uid="{00000000-0005-0000-0000-00000B000000}"/>
    <cellStyle name="Pivot Table Title" xfId="6" xr:uid="{00000000-0005-0000-0000-00000A000000}"/>
    <cellStyle name="Pivot Table Value" xfId="4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EDF5FD"/>
      <rgbColor rgb="FF660066"/>
      <rgbColor rgb="FFFF8080"/>
      <rgbColor rgb="FF1459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082BE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加總 - Area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Sheet1!$G$4:$G$7</c:f>
              <c:strCache>
                <c:ptCount val="4"/>
                <c:pt idx="0">
                  <c:v>Barren/Urban</c:v>
                </c:pt>
                <c:pt idx="1">
                  <c:v>Crop Land/Pasture</c:v>
                </c:pt>
                <c:pt idx="2">
                  <c:v>Natural Vegetation</c:v>
                </c:pt>
                <c:pt idx="3">
                  <c:v>Grand Total</c:v>
                </c:pt>
              </c:strCache>
            </c:strRef>
          </c:cat>
          <c:val>
            <c:numRef>
              <c:f>Sheet1!$H$4:$H$7</c:f>
              <c:numCache>
                <c:formatCode>General</c:formatCode>
                <c:ptCount val="4"/>
                <c:pt idx="0">
                  <c:v>2315</c:v>
                </c:pt>
                <c:pt idx="1">
                  <c:v>26858</c:v>
                </c:pt>
                <c:pt idx="2">
                  <c:v>38666</c:v>
                </c:pt>
                <c:pt idx="3">
                  <c:v>67839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C-4906-9C7A-D0ED1721F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76399"/>
        <c:axId val="86131704"/>
      </c:barChart>
      <c:catAx>
        <c:axId val="62476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86131704"/>
        <c:crosses val="autoZero"/>
        <c:auto val="1"/>
        <c:lblAlgn val="ctr"/>
        <c:lblOffset val="100"/>
        <c:noMultiLvlLbl val="0"/>
      </c:catAx>
      <c:valAx>
        <c:axId val="861317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2476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00219167164801"/>
          <c:y val="0.16249492626167"/>
          <c:w val="0.85226140665471195"/>
          <c:h val="0.615207685022325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Sheet1!$G$32</c:f>
              <c:strCache>
                <c:ptCount val="1"/>
                <c:pt idx="0">
                  <c:v>Barren/Urban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stdErr"/>
            <c:noEndCap val="0"/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numRef>
              <c:f>Sheet1!$H$31:$K$31</c:f>
              <c:numCache>
                <c:formatCode>General</c:formatCode>
                <c:ptCount val="4"/>
                <c:pt idx="0">
                  <c:v>1975</c:v>
                </c:pt>
                <c:pt idx="1">
                  <c:v>2000</c:v>
                </c:pt>
                <c:pt idx="2">
                  <c:v>2013</c:v>
                </c:pt>
                <c:pt idx="3">
                  <c:v>2025</c:v>
                </c:pt>
              </c:numCache>
            </c:numRef>
          </c:cat>
          <c:val>
            <c:numRef>
              <c:f>Sheet1!$H$32:$K$32</c:f>
              <c:numCache>
                <c:formatCode>General</c:formatCode>
                <c:ptCount val="4"/>
                <c:pt idx="0">
                  <c:v>8012</c:v>
                </c:pt>
                <c:pt idx="1">
                  <c:v>8440</c:v>
                </c:pt>
                <c:pt idx="2">
                  <c:v>9260</c:v>
                </c:pt>
                <c:pt idx="3">
                  <c:v>10154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A-436B-A661-C4BF140E8893}"/>
            </c:ext>
          </c:extLst>
        </c:ser>
        <c:ser>
          <c:idx val="1"/>
          <c:order val="1"/>
          <c:tx>
            <c:strRef>
              <c:f>Sheet1!$G$33</c:f>
              <c:strCache>
                <c:ptCount val="1"/>
                <c:pt idx="0">
                  <c:v>Crop Land/Pasture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E97132"/>
                </a:solidFill>
                <a:prstDash val="sysDot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errBars>
            <c:errBarType val="both"/>
            <c:errValType val="stdErr"/>
            <c:noEndCap val="0"/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numRef>
              <c:f>Sheet1!$H$31:$K$31</c:f>
              <c:numCache>
                <c:formatCode>General</c:formatCode>
                <c:ptCount val="4"/>
                <c:pt idx="0">
                  <c:v>1975</c:v>
                </c:pt>
                <c:pt idx="1">
                  <c:v>2000</c:v>
                </c:pt>
                <c:pt idx="2">
                  <c:v>2013</c:v>
                </c:pt>
                <c:pt idx="3">
                  <c:v>2025</c:v>
                </c:pt>
              </c:numCache>
            </c:numRef>
          </c:cat>
          <c:val>
            <c:numRef>
              <c:f>Sheet1!$H$33:$K$33</c:f>
              <c:numCache>
                <c:formatCode>General</c:formatCode>
                <c:ptCount val="4"/>
                <c:pt idx="0">
                  <c:v>41360</c:v>
                </c:pt>
                <c:pt idx="1">
                  <c:v>74312</c:v>
                </c:pt>
                <c:pt idx="2">
                  <c:v>107432</c:v>
                </c:pt>
                <c:pt idx="3">
                  <c:v>150186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2A-436B-A661-C4BF140E8893}"/>
            </c:ext>
          </c:extLst>
        </c:ser>
        <c:ser>
          <c:idx val="2"/>
          <c:order val="2"/>
          <c:tx>
            <c:strRef>
              <c:f>Sheet1!$G$34</c:f>
              <c:strCache>
                <c:ptCount val="1"/>
                <c:pt idx="0">
                  <c:v>Natural Vegetation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stdErr"/>
            <c:noEndCap val="0"/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numRef>
              <c:f>Sheet1!$H$31:$K$31</c:f>
              <c:numCache>
                <c:formatCode>General</c:formatCode>
                <c:ptCount val="4"/>
                <c:pt idx="0">
                  <c:v>1975</c:v>
                </c:pt>
                <c:pt idx="1">
                  <c:v>2000</c:v>
                </c:pt>
                <c:pt idx="2">
                  <c:v>2013</c:v>
                </c:pt>
                <c:pt idx="3">
                  <c:v>2025</c:v>
                </c:pt>
              </c:numCache>
            </c:numRef>
          </c:cat>
          <c:val>
            <c:numRef>
              <c:f>Sheet1!$H$34:$K$34</c:f>
              <c:numCache>
                <c:formatCode>General</c:formatCode>
                <c:ptCount val="4"/>
                <c:pt idx="0">
                  <c:v>221984</c:v>
                </c:pt>
                <c:pt idx="1">
                  <c:v>188604</c:v>
                </c:pt>
                <c:pt idx="2">
                  <c:v>154664</c:v>
                </c:pt>
                <c:pt idx="3">
                  <c:v>111016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2A-436B-A661-C4BF140E8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89506"/>
        <c:axId val="68146522"/>
      </c:barChart>
      <c:catAx>
        <c:axId val="599895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8146522"/>
        <c:crosses val="autoZero"/>
        <c:auto val="1"/>
        <c:lblAlgn val="ctr"/>
        <c:lblOffset val="100"/>
        <c:noMultiLvlLbl val="0"/>
      </c:catAx>
      <c:valAx>
        <c:axId val="681465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599895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Sheet2!$F$37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156082"/>
                </a:solidFill>
                <a:round/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cat>
            <c:numRef>
              <c:f>Sheet2!$G$36:$I$36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Sheet2!$G$37:$I$37</c:f>
              <c:numCache>
                <c:formatCode>General</c:formatCode>
                <c:ptCount val="3"/>
                <c:pt idx="0">
                  <c:v>33760</c:v>
                </c:pt>
                <c:pt idx="1">
                  <c:v>34821</c:v>
                </c:pt>
                <c:pt idx="2">
                  <c:v>41041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9-4405-907A-343F6C165B3C}"/>
            </c:ext>
          </c:extLst>
        </c:ser>
        <c:ser>
          <c:idx val="1"/>
          <c:order val="1"/>
          <c:tx>
            <c:strRef>
              <c:f>Sheet2!$F$38</c:f>
              <c:strCache>
                <c:ptCount val="1"/>
                <c:pt idx="0">
                  <c:v>P2O5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E97132"/>
                </a:solidFill>
                <a:round/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cat>
            <c:numRef>
              <c:f>Sheet2!$G$36:$I$36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Sheet2!$G$38:$I$38</c:f>
              <c:numCache>
                <c:formatCode>General</c:formatCode>
                <c:ptCount val="3"/>
                <c:pt idx="0">
                  <c:v>19186</c:v>
                </c:pt>
                <c:pt idx="1">
                  <c:v>20590</c:v>
                </c:pt>
                <c:pt idx="2">
                  <c:v>23688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9-4405-907A-343F6C165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54633401"/>
        <c:axId val="45817782"/>
      </c:barChart>
      <c:catAx>
        <c:axId val="5463340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45817782"/>
        <c:crosses val="autoZero"/>
        <c:auto val="1"/>
        <c:lblAlgn val="ctr"/>
        <c:lblOffset val="100"/>
        <c:noMultiLvlLbl val="0"/>
      </c:catAx>
      <c:valAx>
        <c:axId val="458177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546334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270000</xdr:colOff>
      <xdr:row>8</xdr:row>
      <xdr:rowOff>126720</xdr:rowOff>
    </xdr:from>
    <xdr:to>
      <xdr:col>11</xdr:col>
      <xdr:colOff>138600</xdr:colOff>
      <xdr:row>21</xdr:row>
      <xdr:rowOff>175680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441360</xdr:colOff>
      <xdr:row>23</xdr:row>
      <xdr:rowOff>163440</xdr:rowOff>
    </xdr:from>
    <xdr:to>
      <xdr:col>9</xdr:col>
      <xdr:colOff>393480</xdr:colOff>
      <xdr:row>36</xdr:row>
      <xdr:rowOff>99720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720720</xdr:colOff>
      <xdr:row>39</xdr:row>
      <xdr:rowOff>101520</xdr:rowOff>
    </xdr:from>
    <xdr:to>
      <xdr:col>11</xdr:col>
      <xdr:colOff>199800</xdr:colOff>
      <xdr:row>52</xdr:row>
      <xdr:rowOff>37800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8" xr:uid="{00000000-000A-0000-FFFF-FFFF01000000}">
  <cacheSource type="worksheet">
    <worksheetSource ref="A1:D49" sheet="Sheet1"/>
  </cacheSource>
  <cacheFields count="4">
    <cacheField name="Area" numFmtId="0">
      <sharedItems containsSemiMixedTypes="0" containsString="0" containsNumber="1" containsInteger="1" minValue="2" maxValue="35537" count="42">
        <n v="2"/>
        <n v="3"/>
        <n v="4"/>
        <n v="5"/>
        <n v="7"/>
        <n v="11"/>
        <n v="12"/>
        <n v="17"/>
        <n v="18"/>
        <n v="69"/>
        <n v="115"/>
        <n v="126"/>
        <n v="169"/>
        <n v="171"/>
        <n v="269"/>
        <n v="299"/>
        <n v="338"/>
        <n v="377"/>
        <n v="719"/>
        <n v="784"/>
        <n v="944"/>
        <n v="988"/>
        <n v="1064"/>
        <n v="1209"/>
        <n v="1213"/>
        <n v="1255"/>
        <n v="1313"/>
        <n v="1425"/>
        <n v="1466"/>
        <n v="1748"/>
        <n v="3425"/>
        <n v="3849"/>
        <n v="4712"/>
        <n v="10212"/>
        <n v="11093"/>
        <n v="12125"/>
        <n v="12244"/>
        <n v="18405"/>
        <n v="21148"/>
        <n v="26473"/>
        <n v="28138"/>
        <n v="35537"/>
      </sharedItems>
    </cacheField>
    <cacheField name="type" numFmtId="0">
      <sharedItems count="18">
        <s v="Agriculture"/>
        <s v="Agriculture in shallows and recession"/>
        <s v="Bare soil"/>
        <s v="Bowe"/>
        <s v="Degraded forest"/>
        <s v="Forest"/>
        <s v="Gallery forest and riparian forest"/>
        <s v="Irrigated agriculture"/>
        <s v="Open mine"/>
        <s v="Plantation"/>
        <s v="Rocky land"/>
        <s v="Sahelian short grass savanna"/>
        <s v="Savanna"/>
        <s v="Settlements"/>
        <s v="Steppe"/>
        <s v="Water bodies"/>
        <s v="Wetland - floodplain"/>
        <s v="Woodland"/>
      </sharedItems>
    </cacheField>
    <cacheField name="Name" numFmtId="0">
      <sharedItems count="3">
        <s v="Barren/Urban"/>
        <s v="Crop Land/Pasture"/>
        <s v="Natural Vegetation"/>
      </sharedItems>
    </cacheField>
    <cacheField name="year" numFmtId="0">
      <sharedItems containsSemiMixedTypes="0" containsString="0" containsNumber="1" containsInteger="1" minValue="1975" maxValue="2013" count="3">
        <n v="1975"/>
        <n v="2000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8"/>
    <x v="5"/>
    <x v="2"/>
    <x v="0"/>
  </r>
  <r>
    <x v="41"/>
    <x v="12"/>
    <x v="2"/>
    <x v="0"/>
  </r>
  <r>
    <x v="22"/>
    <x v="16"/>
    <x v="2"/>
    <x v="0"/>
  </r>
  <r>
    <x v="36"/>
    <x v="14"/>
    <x v="2"/>
    <x v="0"/>
  </r>
  <r>
    <x v="33"/>
    <x v="0"/>
    <x v="1"/>
    <x v="0"/>
  </r>
  <r>
    <x v="12"/>
    <x v="15"/>
    <x v="2"/>
    <x v="0"/>
  </r>
  <r>
    <x v="21"/>
    <x v="10"/>
    <x v="0"/>
    <x v="0"/>
  </r>
  <r>
    <x v="20"/>
    <x v="2"/>
    <x v="0"/>
    <x v="0"/>
  </r>
  <r>
    <x v="9"/>
    <x v="13"/>
    <x v="0"/>
    <x v="0"/>
  </r>
  <r>
    <x v="11"/>
    <x v="7"/>
    <x v="1"/>
    <x v="0"/>
  </r>
  <r>
    <x v="29"/>
    <x v="6"/>
    <x v="2"/>
    <x v="0"/>
  </r>
  <r>
    <x v="0"/>
    <x v="3"/>
    <x v="0"/>
    <x v="0"/>
  </r>
  <r>
    <x v="0"/>
    <x v="1"/>
    <x v="1"/>
    <x v="0"/>
  </r>
  <r>
    <x v="2"/>
    <x v="17"/>
    <x v="2"/>
    <x v="0"/>
  </r>
  <r>
    <x v="32"/>
    <x v="11"/>
    <x v="2"/>
    <x v="0"/>
  </r>
  <r>
    <x v="5"/>
    <x v="5"/>
    <x v="2"/>
    <x v="2"/>
  </r>
  <r>
    <x v="38"/>
    <x v="12"/>
    <x v="2"/>
    <x v="2"/>
  </r>
  <r>
    <x v="28"/>
    <x v="16"/>
    <x v="2"/>
    <x v="2"/>
  </r>
  <r>
    <x v="34"/>
    <x v="14"/>
    <x v="2"/>
    <x v="2"/>
  </r>
  <r>
    <x v="3"/>
    <x v="9"/>
    <x v="1"/>
    <x v="2"/>
  </r>
  <r>
    <x v="39"/>
    <x v="0"/>
    <x v="1"/>
    <x v="2"/>
  </r>
  <r>
    <x v="15"/>
    <x v="15"/>
    <x v="2"/>
    <x v="2"/>
  </r>
  <r>
    <x v="18"/>
    <x v="10"/>
    <x v="0"/>
    <x v="2"/>
  </r>
  <r>
    <x v="26"/>
    <x v="2"/>
    <x v="0"/>
    <x v="2"/>
  </r>
  <r>
    <x v="14"/>
    <x v="13"/>
    <x v="0"/>
    <x v="2"/>
  </r>
  <r>
    <x v="17"/>
    <x v="7"/>
    <x v="1"/>
    <x v="2"/>
  </r>
  <r>
    <x v="24"/>
    <x v="6"/>
    <x v="2"/>
    <x v="2"/>
  </r>
  <r>
    <x v="4"/>
    <x v="4"/>
    <x v="2"/>
    <x v="2"/>
  </r>
  <r>
    <x v="0"/>
    <x v="3"/>
    <x v="0"/>
    <x v="2"/>
  </r>
  <r>
    <x v="1"/>
    <x v="1"/>
    <x v="1"/>
    <x v="2"/>
  </r>
  <r>
    <x v="2"/>
    <x v="17"/>
    <x v="2"/>
    <x v="2"/>
  </r>
  <r>
    <x v="30"/>
    <x v="11"/>
    <x v="2"/>
    <x v="2"/>
  </r>
  <r>
    <x v="6"/>
    <x v="8"/>
    <x v="0"/>
    <x v="2"/>
  </r>
  <r>
    <x v="7"/>
    <x v="5"/>
    <x v="2"/>
    <x v="1"/>
  </r>
  <r>
    <x v="40"/>
    <x v="12"/>
    <x v="2"/>
    <x v="1"/>
  </r>
  <r>
    <x v="25"/>
    <x v="16"/>
    <x v="2"/>
    <x v="1"/>
  </r>
  <r>
    <x v="35"/>
    <x v="14"/>
    <x v="2"/>
    <x v="1"/>
  </r>
  <r>
    <x v="37"/>
    <x v="0"/>
    <x v="1"/>
    <x v="1"/>
  </r>
  <r>
    <x v="16"/>
    <x v="15"/>
    <x v="2"/>
    <x v="1"/>
  </r>
  <r>
    <x v="19"/>
    <x v="10"/>
    <x v="0"/>
    <x v="1"/>
  </r>
  <r>
    <x v="23"/>
    <x v="2"/>
    <x v="0"/>
    <x v="1"/>
  </r>
  <r>
    <x v="10"/>
    <x v="13"/>
    <x v="0"/>
    <x v="1"/>
  </r>
  <r>
    <x v="13"/>
    <x v="7"/>
    <x v="1"/>
    <x v="1"/>
  </r>
  <r>
    <x v="27"/>
    <x v="6"/>
    <x v="2"/>
    <x v="1"/>
  </r>
  <r>
    <x v="0"/>
    <x v="3"/>
    <x v="0"/>
    <x v="1"/>
  </r>
  <r>
    <x v="0"/>
    <x v="1"/>
    <x v="1"/>
    <x v="1"/>
  </r>
  <r>
    <x v="2"/>
    <x v="17"/>
    <x v="2"/>
    <x v="1"/>
  </r>
  <r>
    <x v="31"/>
    <x v="1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0" applyNumberFormats="0" applyBorderFormats="0" applyFontFormats="0" applyPatternFormats="0" applyAlignmentFormats="0" applyWidthHeightFormats="0" dataCaption="Values" itemPrintTitles="1" indent="0" outline="1" outlineData="1">
  <location ref="G3:H7" firstHeaderRow="1" firstDataRow="1" firstDataCol="1" rowPageCount="1" colPageCount="1"/>
  <pivotFields count="4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4">
        <item h="1" x="0"/>
        <item x="2"/>
        <item h="1" x="1"/>
        <item t="default"/>
      </items>
    </pivotField>
  </pivotFields>
  <rowFields count="1">
    <field x="2"/>
  </rowFields>
  <pageFields count="1">
    <pageField fld="3" hier="-1"/>
  </pageFields>
  <dataFields count="1">
    <dataField name="加總 - Area" fld="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opLeftCell="A22" zoomScaleNormal="100" workbookViewId="0">
      <selection activeCell="H3" sqref="H3"/>
    </sheetView>
  </sheetViews>
  <sheetFormatPr defaultColWidth="8.453125" defaultRowHeight="17"/>
  <cols>
    <col min="1" max="1" width="7.54296875" style="1" customWidth="1"/>
    <col min="2" max="2" width="34" style="1" customWidth="1"/>
    <col min="3" max="3" width="17.54296875" style="1" customWidth="1"/>
    <col min="6" max="6" width="17.54296875" style="1" customWidth="1"/>
    <col min="7" max="7" width="16.36328125" style="1" customWidth="1"/>
    <col min="8" max="8" width="11.81640625" style="1" customWidth="1"/>
    <col min="9" max="9" width="12.1796875" style="1" customWidth="1"/>
    <col min="10" max="10" width="14.8164062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G1" s="3" t="s">
        <v>3</v>
      </c>
      <c r="H1" s="4">
        <v>2013</v>
      </c>
    </row>
    <row r="2" spans="1:9">
      <c r="A2" s="2">
        <v>18</v>
      </c>
      <c r="B2" s="2" t="s">
        <v>4</v>
      </c>
      <c r="C2" s="2" t="s">
        <v>5</v>
      </c>
      <c r="D2" s="2">
        <v>1975</v>
      </c>
      <c r="G2"/>
      <c r="H2"/>
    </row>
    <row r="3" spans="1:9">
      <c r="A3" s="2">
        <v>35537</v>
      </c>
      <c r="B3" s="2" t="s">
        <v>6</v>
      </c>
      <c r="C3" s="2" t="s">
        <v>5</v>
      </c>
      <c r="D3" s="2">
        <v>1975</v>
      </c>
      <c r="G3" s="5" t="s">
        <v>392</v>
      </c>
      <c r="H3" s="6" t="s">
        <v>7</v>
      </c>
    </row>
    <row r="4" spans="1:9">
      <c r="A4" s="2">
        <v>1064</v>
      </c>
      <c r="B4" s="2" t="s">
        <v>8</v>
      </c>
      <c r="C4" s="2" t="s">
        <v>5</v>
      </c>
      <c r="D4" s="2">
        <v>1975</v>
      </c>
      <c r="G4" s="7" t="s">
        <v>9</v>
      </c>
      <c r="H4" s="8">
        <v>2315</v>
      </c>
      <c r="I4" s="2" t="e">
        <f>GETPIVOTDATA("Area",$G$3,"Name","Barren/Urban")*4</f>
        <v>#REF!</v>
      </c>
    </row>
    <row r="5" spans="1:9">
      <c r="A5" s="2">
        <v>12244</v>
      </c>
      <c r="B5" s="2" t="s">
        <v>10</v>
      </c>
      <c r="C5" s="2" t="s">
        <v>5</v>
      </c>
      <c r="D5" s="2">
        <v>1975</v>
      </c>
      <c r="G5" s="9" t="s">
        <v>11</v>
      </c>
      <c r="H5" s="10">
        <v>26858</v>
      </c>
      <c r="I5" s="2" t="e">
        <f>GETPIVOTDATA("Area",$G$3,"Name","Crop Land/Pasture")*4</f>
        <v>#REF!</v>
      </c>
    </row>
    <row r="6" spans="1:9">
      <c r="A6" s="2">
        <v>10212</v>
      </c>
      <c r="B6" s="2" t="s">
        <v>12</v>
      </c>
      <c r="C6" s="2" t="s">
        <v>11</v>
      </c>
      <c r="D6" s="2">
        <v>1975</v>
      </c>
      <c r="G6" s="9" t="s">
        <v>5</v>
      </c>
      <c r="H6" s="11">
        <v>38666</v>
      </c>
      <c r="I6" s="2" t="e">
        <f>GETPIVOTDATA("Area",$G$3,"Name","Natural Vegetation")*4</f>
        <v>#REF!</v>
      </c>
    </row>
    <row r="7" spans="1:9">
      <c r="A7" s="2">
        <v>169</v>
      </c>
      <c r="B7" s="2" t="s">
        <v>13</v>
      </c>
      <c r="C7" s="2" t="s">
        <v>5</v>
      </c>
      <c r="D7" s="2">
        <v>1975</v>
      </c>
      <c r="G7" s="12" t="s">
        <v>393</v>
      </c>
      <c r="H7" s="13">
        <v>67839</v>
      </c>
      <c r="I7" s="2" t="e">
        <f>SUM(I4:I6)</f>
        <v>#REF!</v>
      </c>
    </row>
    <row r="8" spans="1:9">
      <c r="A8" s="2">
        <v>988</v>
      </c>
      <c r="B8" s="2" t="s">
        <v>14</v>
      </c>
      <c r="C8" s="2" t="s">
        <v>9</v>
      </c>
      <c r="D8" s="2">
        <v>1975</v>
      </c>
    </row>
    <row r="9" spans="1:9">
      <c r="A9" s="2">
        <v>944</v>
      </c>
      <c r="B9" s="2" t="s">
        <v>15</v>
      </c>
      <c r="C9" s="2" t="s">
        <v>9</v>
      </c>
      <c r="D9" s="2">
        <v>1975</v>
      </c>
    </row>
    <row r="10" spans="1:9">
      <c r="A10" s="2">
        <v>69</v>
      </c>
      <c r="B10" s="2" t="s">
        <v>16</v>
      </c>
      <c r="C10" s="2" t="s">
        <v>9</v>
      </c>
      <c r="D10" s="2">
        <v>1975</v>
      </c>
    </row>
    <row r="11" spans="1:9">
      <c r="A11" s="2">
        <v>126</v>
      </c>
      <c r="B11" s="2" t="s">
        <v>17</v>
      </c>
      <c r="C11" s="2" t="s">
        <v>11</v>
      </c>
      <c r="D11" s="2">
        <v>1975</v>
      </c>
    </row>
    <row r="12" spans="1:9">
      <c r="A12" s="2">
        <v>1748</v>
      </c>
      <c r="B12" s="2" t="s">
        <v>18</v>
      </c>
      <c r="C12" s="2" t="s">
        <v>5</v>
      </c>
      <c r="D12" s="2">
        <v>1975</v>
      </c>
    </row>
    <row r="13" spans="1:9">
      <c r="A13" s="2">
        <v>2</v>
      </c>
      <c r="B13" s="2" t="s">
        <v>19</v>
      </c>
      <c r="C13" s="2" t="s">
        <v>9</v>
      </c>
      <c r="D13" s="2">
        <v>1975</v>
      </c>
    </row>
    <row r="14" spans="1:9">
      <c r="A14" s="2">
        <v>2</v>
      </c>
      <c r="B14" s="2" t="s">
        <v>20</v>
      </c>
      <c r="C14" s="2" t="s">
        <v>11</v>
      </c>
      <c r="D14" s="2">
        <v>1975</v>
      </c>
    </row>
    <row r="15" spans="1:9">
      <c r="A15" s="2">
        <v>4</v>
      </c>
      <c r="B15" s="2" t="s">
        <v>21</v>
      </c>
      <c r="C15" s="2" t="s">
        <v>5</v>
      </c>
      <c r="D15" s="2">
        <v>1975</v>
      </c>
    </row>
    <row r="16" spans="1:9">
      <c r="A16" s="2">
        <v>4712</v>
      </c>
      <c r="B16" s="2" t="s">
        <v>22</v>
      </c>
      <c r="C16" s="2" t="s">
        <v>5</v>
      </c>
      <c r="D16" s="2">
        <v>1975</v>
      </c>
    </row>
    <row r="17" spans="1:11">
      <c r="A17" s="2">
        <v>11</v>
      </c>
      <c r="B17" s="2" t="s">
        <v>4</v>
      </c>
      <c r="C17" s="2" t="s">
        <v>5</v>
      </c>
      <c r="D17" s="2">
        <v>2013</v>
      </c>
    </row>
    <row r="18" spans="1:11">
      <c r="A18" s="2">
        <v>21148</v>
      </c>
      <c r="B18" s="2" t="s">
        <v>6</v>
      </c>
      <c r="C18" s="2" t="s">
        <v>5</v>
      </c>
      <c r="D18" s="2">
        <v>2013</v>
      </c>
    </row>
    <row r="19" spans="1:11">
      <c r="A19" s="2">
        <v>1466</v>
      </c>
      <c r="B19" s="2" t="s">
        <v>8</v>
      </c>
      <c r="C19" s="2" t="s">
        <v>5</v>
      </c>
      <c r="D19" s="2">
        <v>2013</v>
      </c>
    </row>
    <row r="20" spans="1:11">
      <c r="A20" s="2">
        <v>11093</v>
      </c>
      <c r="B20" s="2" t="s">
        <v>10</v>
      </c>
      <c r="C20" s="2" t="s">
        <v>5</v>
      </c>
      <c r="D20" s="2">
        <v>2013</v>
      </c>
    </row>
    <row r="21" spans="1:11">
      <c r="A21" s="2">
        <v>5</v>
      </c>
      <c r="B21" s="2" t="s">
        <v>23</v>
      </c>
      <c r="C21" s="2" t="s">
        <v>11</v>
      </c>
      <c r="D21" s="2">
        <v>2013</v>
      </c>
    </row>
    <row r="22" spans="1:11">
      <c r="A22" s="2">
        <v>26473</v>
      </c>
      <c r="B22" s="2" t="s">
        <v>12</v>
      </c>
      <c r="C22" s="2" t="s">
        <v>11</v>
      </c>
      <c r="D22" s="2">
        <v>2013</v>
      </c>
    </row>
    <row r="23" spans="1:11">
      <c r="A23" s="2">
        <v>299</v>
      </c>
      <c r="B23" s="2" t="s">
        <v>13</v>
      </c>
      <c r="C23" s="2" t="s">
        <v>5</v>
      </c>
      <c r="D23" s="2">
        <v>2013</v>
      </c>
    </row>
    <row r="24" spans="1:11">
      <c r="A24" s="2">
        <v>719</v>
      </c>
      <c r="B24" s="2" t="s">
        <v>14</v>
      </c>
      <c r="C24" s="2" t="s">
        <v>9</v>
      </c>
      <c r="D24" s="2">
        <v>2013</v>
      </c>
    </row>
    <row r="25" spans="1:11">
      <c r="A25" s="2">
        <v>1313</v>
      </c>
      <c r="B25" s="2" t="s">
        <v>15</v>
      </c>
      <c r="C25" s="2" t="s">
        <v>9</v>
      </c>
      <c r="D25" s="2">
        <v>2013</v>
      </c>
    </row>
    <row r="26" spans="1:11">
      <c r="A26" s="2">
        <v>269</v>
      </c>
      <c r="B26" s="2" t="s">
        <v>16</v>
      </c>
      <c r="C26" s="2" t="s">
        <v>9</v>
      </c>
      <c r="D26" s="2">
        <v>2013</v>
      </c>
    </row>
    <row r="27" spans="1:11">
      <c r="A27" s="2">
        <v>377</v>
      </c>
      <c r="B27" s="2" t="s">
        <v>17</v>
      </c>
      <c r="C27" s="2" t="s">
        <v>11</v>
      </c>
      <c r="D27" s="2">
        <v>2013</v>
      </c>
      <c r="J27" s="14"/>
    </row>
    <row r="28" spans="1:11">
      <c r="A28" s="2">
        <v>1213</v>
      </c>
      <c r="B28" s="2" t="s">
        <v>18</v>
      </c>
      <c r="C28" s="2" t="s">
        <v>5</v>
      </c>
      <c r="D28" s="2">
        <v>2013</v>
      </c>
    </row>
    <row r="29" spans="1:11">
      <c r="A29" s="2">
        <v>7</v>
      </c>
      <c r="B29" s="2" t="s">
        <v>24</v>
      </c>
      <c r="C29" s="2" t="s">
        <v>5</v>
      </c>
      <c r="D29" s="2">
        <v>2013</v>
      </c>
    </row>
    <row r="30" spans="1:11">
      <c r="A30" s="2">
        <v>2</v>
      </c>
      <c r="B30" s="2" t="s">
        <v>19</v>
      </c>
      <c r="C30" s="2" t="s">
        <v>9</v>
      </c>
      <c r="D30" s="2">
        <v>2013</v>
      </c>
    </row>
    <row r="31" spans="1:11">
      <c r="A31" s="2">
        <v>3</v>
      </c>
      <c r="B31" s="2" t="s">
        <v>20</v>
      </c>
      <c r="C31" s="2" t="s">
        <v>11</v>
      </c>
      <c r="D31" s="2">
        <v>2013</v>
      </c>
      <c r="H31" s="2">
        <v>1975</v>
      </c>
      <c r="I31" s="2">
        <v>2000</v>
      </c>
      <c r="J31" s="2">
        <v>2013</v>
      </c>
      <c r="K31" s="2">
        <v>2025</v>
      </c>
    </row>
    <row r="32" spans="1:11">
      <c r="A32" s="2">
        <v>4</v>
      </c>
      <c r="B32" s="2" t="s">
        <v>21</v>
      </c>
      <c r="C32" s="2" t="s">
        <v>5</v>
      </c>
      <c r="D32" s="2">
        <v>2013</v>
      </c>
      <c r="G32" s="15" t="s">
        <v>9</v>
      </c>
      <c r="H32" s="2">
        <v>8012</v>
      </c>
      <c r="I32" s="2">
        <v>8440</v>
      </c>
      <c r="J32" s="2">
        <v>9260</v>
      </c>
      <c r="K32" s="2">
        <v>10154</v>
      </c>
    </row>
    <row r="33" spans="1:11">
      <c r="A33" s="2">
        <v>3425</v>
      </c>
      <c r="B33" s="2" t="s">
        <v>22</v>
      </c>
      <c r="C33" s="2" t="s">
        <v>5</v>
      </c>
      <c r="D33" s="2">
        <v>2013</v>
      </c>
      <c r="G33" s="15" t="s">
        <v>11</v>
      </c>
      <c r="H33" s="2">
        <v>41360</v>
      </c>
      <c r="I33" s="2">
        <v>74312</v>
      </c>
      <c r="J33" s="2">
        <v>107432</v>
      </c>
      <c r="K33" s="2">
        <v>150186</v>
      </c>
    </row>
    <row r="34" spans="1:11">
      <c r="A34" s="2">
        <v>12</v>
      </c>
      <c r="B34" s="2" t="s">
        <v>25</v>
      </c>
      <c r="C34" s="2" t="s">
        <v>9</v>
      </c>
      <c r="D34" s="2">
        <v>2013</v>
      </c>
      <c r="G34" s="15" t="s">
        <v>5</v>
      </c>
      <c r="H34" s="2">
        <v>221984</v>
      </c>
      <c r="I34" s="2">
        <v>188604</v>
      </c>
      <c r="J34" s="2">
        <v>154664</v>
      </c>
      <c r="K34" s="2">
        <v>111016</v>
      </c>
    </row>
    <row r="35" spans="1:11">
      <c r="A35" s="2">
        <v>17</v>
      </c>
      <c r="B35" s="2" t="s">
        <v>4</v>
      </c>
      <c r="C35" s="2" t="s">
        <v>5</v>
      </c>
      <c r="D35" s="2">
        <v>2000</v>
      </c>
      <c r="G35" s="15" t="s">
        <v>26</v>
      </c>
      <c r="H35" s="2">
        <f>SUM(H32,H33,H34)</f>
        <v>271356</v>
      </c>
      <c r="I35" s="2">
        <f>SUM(I32,I33,I34)</f>
        <v>271356</v>
      </c>
      <c r="J35" s="2">
        <f>SUM(J32,J34,J33)</f>
        <v>271356</v>
      </c>
      <c r="K35" s="2">
        <f>SUM(K32,K33,K34)</f>
        <v>271356</v>
      </c>
    </row>
    <row r="36" spans="1:11">
      <c r="A36" s="2">
        <v>28138</v>
      </c>
      <c r="B36" s="2" t="s">
        <v>6</v>
      </c>
      <c r="C36" s="2" t="s">
        <v>5</v>
      </c>
      <c r="D36" s="2">
        <v>2000</v>
      </c>
      <c r="G36" s="15" t="s">
        <v>27</v>
      </c>
      <c r="H36" s="2">
        <f>H35/274200</f>
        <v>0.98962800875273527</v>
      </c>
      <c r="I36" s="2">
        <f>I35/274200</f>
        <v>0.98962800875273527</v>
      </c>
      <c r="J36" s="2">
        <f>J35/274200</f>
        <v>0.98962800875273527</v>
      </c>
      <c r="K36" s="2">
        <f>K35/274200</f>
        <v>0.98962800875273527</v>
      </c>
    </row>
    <row r="37" spans="1:11">
      <c r="A37" s="2">
        <v>1255</v>
      </c>
      <c r="B37" s="2" t="s">
        <v>8</v>
      </c>
      <c r="C37" s="2" t="s">
        <v>5</v>
      </c>
      <c r="D37" s="2">
        <v>2000</v>
      </c>
    </row>
    <row r="38" spans="1:11" ht="109.5" customHeight="1">
      <c r="A38" s="2">
        <v>12125</v>
      </c>
      <c r="B38" s="2" t="s">
        <v>10</v>
      </c>
      <c r="C38" s="2" t="s">
        <v>5</v>
      </c>
      <c r="D38" s="2">
        <v>2000</v>
      </c>
      <c r="G38" s="132"/>
      <c r="H38" s="132"/>
      <c r="I38" s="132"/>
      <c r="J38" s="132"/>
      <c r="K38" s="132"/>
    </row>
    <row r="39" spans="1:11">
      <c r="A39" s="2">
        <v>18405</v>
      </c>
      <c r="B39" s="2" t="s">
        <v>12</v>
      </c>
      <c r="C39" s="2" t="s">
        <v>11</v>
      </c>
      <c r="D39" s="2">
        <v>2000</v>
      </c>
      <c r="G39" s="132"/>
      <c r="H39" s="132"/>
      <c r="I39" s="132"/>
      <c r="J39" s="132"/>
      <c r="K39" s="132"/>
    </row>
    <row r="40" spans="1:11">
      <c r="A40" s="2">
        <v>338</v>
      </c>
      <c r="B40" s="2" t="s">
        <v>13</v>
      </c>
      <c r="C40" s="2" t="s">
        <v>5</v>
      </c>
      <c r="D40" s="2">
        <v>2000</v>
      </c>
      <c r="G40" s="132"/>
      <c r="H40" s="132"/>
      <c r="I40" s="132"/>
      <c r="J40" s="132"/>
      <c r="K40" s="132"/>
    </row>
    <row r="41" spans="1:11">
      <c r="A41" s="2">
        <v>784</v>
      </c>
      <c r="B41" s="2" t="s">
        <v>14</v>
      </c>
      <c r="C41" s="2" t="s">
        <v>9</v>
      </c>
      <c r="D41" s="2">
        <v>2000</v>
      </c>
      <c r="G41" s="132"/>
      <c r="H41" s="132"/>
      <c r="I41" s="132"/>
      <c r="J41" s="132"/>
      <c r="K41" s="132"/>
    </row>
    <row r="42" spans="1:11">
      <c r="A42" s="2">
        <v>1209</v>
      </c>
      <c r="B42" s="2" t="s">
        <v>15</v>
      </c>
      <c r="C42" s="2" t="s">
        <v>9</v>
      </c>
      <c r="D42" s="2">
        <v>2000</v>
      </c>
      <c r="G42" s="132"/>
      <c r="H42" s="132"/>
      <c r="I42" s="132"/>
      <c r="J42" s="132"/>
      <c r="K42" s="132"/>
    </row>
    <row r="43" spans="1:11">
      <c r="A43" s="2">
        <v>115</v>
      </c>
      <c r="B43" s="2" t="s">
        <v>16</v>
      </c>
      <c r="C43" s="2" t="s">
        <v>9</v>
      </c>
      <c r="D43" s="2">
        <v>2000</v>
      </c>
      <c r="G43" s="132"/>
      <c r="H43" s="132"/>
      <c r="I43" s="132"/>
      <c r="J43" s="132"/>
      <c r="K43" s="132"/>
    </row>
    <row r="44" spans="1:11">
      <c r="A44" s="2">
        <v>171</v>
      </c>
      <c r="B44" s="2" t="s">
        <v>17</v>
      </c>
      <c r="C44" s="2" t="s">
        <v>11</v>
      </c>
      <c r="D44" s="2">
        <v>2000</v>
      </c>
      <c r="G44" s="132"/>
      <c r="H44" s="132"/>
      <c r="I44" s="132"/>
      <c r="J44" s="132"/>
      <c r="K44" s="132"/>
    </row>
    <row r="45" spans="1:11">
      <c r="A45" s="2">
        <v>1425</v>
      </c>
      <c r="B45" s="2" t="s">
        <v>18</v>
      </c>
      <c r="C45" s="2" t="s">
        <v>5</v>
      </c>
      <c r="D45" s="2">
        <v>2000</v>
      </c>
    </row>
    <row r="46" spans="1:11">
      <c r="A46" s="2">
        <v>2</v>
      </c>
      <c r="B46" s="2" t="s">
        <v>19</v>
      </c>
      <c r="C46" s="2" t="s">
        <v>9</v>
      </c>
      <c r="D46" s="2">
        <v>2000</v>
      </c>
    </row>
    <row r="47" spans="1:11">
      <c r="A47" s="2">
        <v>2</v>
      </c>
      <c r="B47" s="2" t="s">
        <v>20</v>
      </c>
      <c r="C47" s="2" t="s">
        <v>11</v>
      </c>
      <c r="D47" s="2">
        <v>2000</v>
      </c>
    </row>
    <row r="48" spans="1:11">
      <c r="A48" s="2">
        <v>4</v>
      </c>
      <c r="B48" s="2" t="s">
        <v>21</v>
      </c>
      <c r="C48" s="2" t="s">
        <v>5</v>
      </c>
      <c r="D48" s="2">
        <v>2000</v>
      </c>
    </row>
    <row r="49" spans="1:4">
      <c r="A49" s="2">
        <v>3849</v>
      </c>
      <c r="B49" s="2" t="s">
        <v>22</v>
      </c>
      <c r="C49" s="2" t="s">
        <v>5</v>
      </c>
      <c r="D49" s="2">
        <v>2000</v>
      </c>
    </row>
  </sheetData>
  <autoFilter ref="A1:C16" xr:uid="{00000000-0009-0000-0000-000000000000}"/>
  <mergeCells count="1">
    <mergeCell ref="G38:K44"/>
  </mergeCell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"/>
  <sheetViews>
    <sheetView topLeftCell="A39" zoomScaleNormal="100" workbookViewId="0">
      <selection activeCell="O28" sqref="O28"/>
    </sheetView>
  </sheetViews>
  <sheetFormatPr defaultColWidth="8.453125" defaultRowHeight="17"/>
  <cols>
    <col min="2" max="4" width="11.1796875" style="1" customWidth="1"/>
    <col min="5" max="5" width="12.36328125" style="1" customWidth="1"/>
    <col min="6" max="13" width="10.08984375" style="1" customWidth="1"/>
  </cols>
  <sheetData>
    <row r="1" spans="1:31" ht="20.25" customHeight="1">
      <c r="A1" s="16" t="s">
        <v>28</v>
      </c>
      <c r="B1" s="134" t="s">
        <v>29</v>
      </c>
      <c r="C1" s="134"/>
      <c r="D1" s="134"/>
      <c r="E1" s="134" t="s">
        <v>30</v>
      </c>
      <c r="F1" s="134"/>
      <c r="G1" s="134"/>
      <c r="H1" s="134"/>
      <c r="I1" s="134"/>
      <c r="J1" s="134"/>
      <c r="K1" s="134"/>
      <c r="L1" s="134"/>
      <c r="M1" s="134"/>
      <c r="N1" s="134" t="s">
        <v>31</v>
      </c>
      <c r="O1" s="134"/>
      <c r="P1" s="134"/>
      <c r="Q1" s="134"/>
      <c r="R1" s="134"/>
      <c r="S1" s="134"/>
      <c r="T1" s="134"/>
      <c r="U1" s="134"/>
      <c r="V1" s="134"/>
      <c r="W1" s="134" t="s">
        <v>32</v>
      </c>
      <c r="X1" s="134"/>
      <c r="Y1" s="134"/>
      <c r="Z1" s="134"/>
      <c r="AA1" s="134"/>
      <c r="AB1" s="134"/>
      <c r="AC1" s="134"/>
      <c r="AD1" s="134"/>
      <c r="AE1" s="134"/>
    </row>
    <row r="2" spans="1:31" ht="17.25" customHeight="1">
      <c r="A2" s="135" t="s">
        <v>33</v>
      </c>
      <c r="B2" s="136" t="s">
        <v>34</v>
      </c>
      <c r="C2" s="136"/>
      <c r="D2" s="136"/>
      <c r="E2" s="136" t="s">
        <v>35</v>
      </c>
      <c r="F2" s="136"/>
      <c r="G2" s="136"/>
      <c r="H2" s="136"/>
      <c r="I2" s="136"/>
      <c r="J2" s="136"/>
      <c r="K2" s="136"/>
      <c r="L2" s="136"/>
      <c r="M2" s="136"/>
      <c r="N2" s="137" t="s">
        <v>36</v>
      </c>
      <c r="O2" s="137"/>
      <c r="P2" s="137"/>
      <c r="Q2" s="137"/>
      <c r="R2" s="137"/>
      <c r="S2" s="137"/>
      <c r="T2" s="137"/>
      <c r="U2" s="137"/>
      <c r="V2" s="137"/>
      <c r="W2" s="137" t="s">
        <v>37</v>
      </c>
      <c r="X2" s="137"/>
      <c r="Y2" s="137"/>
      <c r="Z2" s="137"/>
      <c r="AA2" s="137"/>
      <c r="AB2" s="137"/>
      <c r="AC2" s="137"/>
      <c r="AD2" s="137"/>
      <c r="AE2" s="137"/>
    </row>
    <row r="3" spans="1:31" ht="18" customHeight="1">
      <c r="A3" s="135"/>
      <c r="B3" s="136"/>
      <c r="C3" s="136"/>
      <c r="D3" s="136"/>
      <c r="E3" s="138" t="s">
        <v>38</v>
      </c>
      <c r="F3" s="138"/>
      <c r="G3" s="138"/>
      <c r="H3" s="138" t="s">
        <v>39</v>
      </c>
      <c r="I3" s="138"/>
      <c r="J3" s="138"/>
      <c r="K3" s="139" t="s">
        <v>40</v>
      </c>
      <c r="L3" s="139"/>
      <c r="M3" s="139"/>
      <c r="N3" s="140" t="s">
        <v>38</v>
      </c>
      <c r="O3" s="140"/>
      <c r="P3" s="140"/>
      <c r="Q3" s="140" t="s">
        <v>39</v>
      </c>
      <c r="R3" s="140"/>
      <c r="S3" s="140"/>
      <c r="T3" s="140" t="s">
        <v>40</v>
      </c>
      <c r="U3" s="140"/>
      <c r="V3" s="140"/>
      <c r="W3" s="133" t="s">
        <v>38</v>
      </c>
      <c r="X3" s="133"/>
      <c r="Y3" s="133"/>
      <c r="Z3" s="133" t="s">
        <v>39</v>
      </c>
      <c r="AA3" s="133"/>
      <c r="AB3" s="133"/>
      <c r="AC3" s="133" t="s">
        <v>40</v>
      </c>
      <c r="AD3" s="133"/>
      <c r="AE3" s="133"/>
    </row>
    <row r="4" spans="1:31" ht="18" customHeight="1">
      <c r="A4" s="17" t="s">
        <v>41</v>
      </c>
      <c r="B4" s="18">
        <v>2015</v>
      </c>
      <c r="C4" s="19">
        <v>2016</v>
      </c>
      <c r="D4" s="18">
        <v>2017</v>
      </c>
      <c r="E4" s="20">
        <v>2015</v>
      </c>
      <c r="F4" s="19">
        <v>2016</v>
      </c>
      <c r="G4" s="21">
        <v>2017</v>
      </c>
      <c r="H4" s="18">
        <v>2015</v>
      </c>
      <c r="I4" s="19">
        <v>2016</v>
      </c>
      <c r="J4" s="22">
        <v>2017</v>
      </c>
      <c r="K4" s="18">
        <v>2015</v>
      </c>
      <c r="L4" s="19">
        <v>2016</v>
      </c>
      <c r="M4" s="18">
        <v>2017</v>
      </c>
      <c r="N4" s="20">
        <v>2015</v>
      </c>
      <c r="O4" s="19">
        <v>2016</v>
      </c>
      <c r="P4" s="18">
        <v>2017</v>
      </c>
      <c r="Q4" s="20">
        <v>2015</v>
      </c>
      <c r="R4" s="19">
        <v>2016</v>
      </c>
      <c r="S4" s="23">
        <v>2017</v>
      </c>
      <c r="T4" s="20">
        <v>2015</v>
      </c>
      <c r="U4" s="19">
        <v>2016</v>
      </c>
      <c r="V4" s="23">
        <v>2017</v>
      </c>
      <c r="W4" s="20">
        <v>2015</v>
      </c>
      <c r="X4" s="19">
        <v>2016</v>
      </c>
      <c r="Y4" s="23">
        <v>2017</v>
      </c>
      <c r="Z4" s="20">
        <v>2015</v>
      </c>
      <c r="AA4" s="19">
        <v>2016</v>
      </c>
      <c r="AB4" s="22">
        <v>2017</v>
      </c>
      <c r="AC4" s="18">
        <v>2015</v>
      </c>
      <c r="AD4" s="19">
        <v>2016</v>
      </c>
      <c r="AE4" s="22">
        <v>2017</v>
      </c>
    </row>
    <row r="5" spans="1:31" ht="17.25" customHeight="1">
      <c r="A5" s="24"/>
      <c r="B5" s="25"/>
      <c r="C5" s="26"/>
      <c r="D5" s="27"/>
      <c r="E5" s="28"/>
      <c r="F5" s="29"/>
      <c r="G5" s="30"/>
      <c r="H5" s="31"/>
      <c r="I5" s="32"/>
      <c r="J5" s="31"/>
      <c r="K5" s="28"/>
      <c r="L5" s="29"/>
      <c r="M5" s="31"/>
      <c r="N5" s="28"/>
      <c r="O5" s="29"/>
      <c r="P5" s="31"/>
      <c r="Q5" s="33"/>
      <c r="R5" s="34"/>
      <c r="S5" s="35"/>
      <c r="T5" s="33"/>
      <c r="U5" s="34"/>
      <c r="V5" s="35"/>
      <c r="W5" s="33"/>
      <c r="X5" s="34"/>
      <c r="Y5" s="35"/>
      <c r="Z5" s="33"/>
      <c r="AA5" s="34"/>
      <c r="AB5" s="35"/>
      <c r="AC5" s="33"/>
      <c r="AD5" s="34"/>
      <c r="AE5" s="36"/>
    </row>
    <row r="6" spans="1:31">
      <c r="A6" s="37" t="s">
        <v>42</v>
      </c>
      <c r="B6" s="38">
        <v>651000</v>
      </c>
      <c r="C6" s="39">
        <v>657000</v>
      </c>
      <c r="D6" s="40">
        <v>645000</v>
      </c>
      <c r="E6" s="38">
        <v>31636</v>
      </c>
      <c r="F6" s="39">
        <v>38064</v>
      </c>
      <c r="G6" s="40">
        <v>41050</v>
      </c>
      <c r="H6" s="38">
        <v>19555</v>
      </c>
      <c r="I6" s="39">
        <v>23271</v>
      </c>
      <c r="J6" s="40">
        <v>24390</v>
      </c>
      <c r="K6" s="38">
        <v>19178</v>
      </c>
      <c r="L6" s="39">
        <v>22886</v>
      </c>
      <c r="M6" s="40">
        <v>24390</v>
      </c>
      <c r="N6" s="41">
        <f t="shared" ref="N6:P13" si="0">IFERROR(E6*1000/B6,"-")</f>
        <v>48.596006144393243</v>
      </c>
      <c r="O6" s="42">
        <f t="shared" si="0"/>
        <v>57.93607305936073</v>
      </c>
      <c r="P6" s="43">
        <f t="shared" si="0"/>
        <v>63.643410852713181</v>
      </c>
      <c r="Q6" s="44">
        <f t="shared" ref="Q6:S13" si="1">IFERROR(H6*1000/B6,"-")</f>
        <v>30.038402457757297</v>
      </c>
      <c r="R6" s="45">
        <f t="shared" si="1"/>
        <v>35.420091324200911</v>
      </c>
      <c r="S6" s="46">
        <f t="shared" si="1"/>
        <v>37.813953488372093</v>
      </c>
      <c r="T6" s="44">
        <f t="shared" ref="T6:V13" si="2">IFERROR(K6*1000/B6,"-")</f>
        <v>29.459293394777266</v>
      </c>
      <c r="U6" s="45">
        <f t="shared" si="2"/>
        <v>34.834094368340942</v>
      </c>
      <c r="V6" s="46">
        <f t="shared" si="2"/>
        <v>37.813953488372093</v>
      </c>
      <c r="W6" s="47" t="str">
        <f t="shared" ref="W6:AE13" si="3">IFERROR(E6/E$20,"-")</f>
        <v>-</v>
      </c>
      <c r="X6" s="48" t="str">
        <f t="shared" si="3"/>
        <v>-</v>
      </c>
      <c r="Y6" s="49" t="str">
        <f t="shared" si="3"/>
        <v>-</v>
      </c>
      <c r="Z6" s="47" t="str">
        <f t="shared" si="3"/>
        <v>-</v>
      </c>
      <c r="AA6" s="48" t="str">
        <f t="shared" si="3"/>
        <v>-</v>
      </c>
      <c r="AB6" s="49" t="str">
        <f t="shared" si="3"/>
        <v>-</v>
      </c>
      <c r="AC6" s="47" t="str">
        <f t="shared" si="3"/>
        <v>-</v>
      </c>
      <c r="AD6" s="48" t="str">
        <f t="shared" si="3"/>
        <v>-</v>
      </c>
      <c r="AE6" s="50" t="str">
        <f t="shared" si="3"/>
        <v>-</v>
      </c>
    </row>
    <row r="7" spans="1:31">
      <c r="A7" s="51" t="s">
        <v>43</v>
      </c>
      <c r="B7" s="52">
        <v>749000</v>
      </c>
      <c r="C7" s="53">
        <v>820000</v>
      </c>
      <c r="D7" s="54">
        <v>911000</v>
      </c>
      <c r="E7" s="52">
        <v>26533</v>
      </c>
      <c r="F7" s="53">
        <v>26973</v>
      </c>
      <c r="G7" s="54">
        <v>32643</v>
      </c>
      <c r="H7" s="52">
        <v>14316</v>
      </c>
      <c r="I7" s="53">
        <v>15219</v>
      </c>
      <c r="J7" s="54">
        <v>17651</v>
      </c>
      <c r="K7" s="52">
        <v>9730</v>
      </c>
      <c r="L7" s="53">
        <v>10342</v>
      </c>
      <c r="M7" s="54">
        <v>12095</v>
      </c>
      <c r="N7" s="55">
        <f t="shared" si="0"/>
        <v>35.424566088117487</v>
      </c>
      <c r="O7" s="56">
        <f t="shared" si="0"/>
        <v>32.893902439024387</v>
      </c>
      <c r="P7" s="57">
        <f t="shared" si="0"/>
        <v>35.832052689352359</v>
      </c>
      <c r="Q7" s="58">
        <f t="shared" si="1"/>
        <v>19.113484646194927</v>
      </c>
      <c r="R7" s="59">
        <f t="shared" si="1"/>
        <v>18.559756097560975</v>
      </c>
      <c r="S7" s="60">
        <f t="shared" si="1"/>
        <v>19.375411635565314</v>
      </c>
      <c r="T7" s="58">
        <f t="shared" si="2"/>
        <v>12.990654205607477</v>
      </c>
      <c r="U7" s="59">
        <f t="shared" si="2"/>
        <v>12.612195121951219</v>
      </c>
      <c r="V7" s="60">
        <f t="shared" si="2"/>
        <v>13.276619099890231</v>
      </c>
      <c r="W7" s="61" t="str">
        <f t="shared" si="3"/>
        <v>-</v>
      </c>
      <c r="X7" s="62" t="str">
        <f t="shared" si="3"/>
        <v>-</v>
      </c>
      <c r="Y7" s="63" t="str">
        <f t="shared" si="3"/>
        <v>-</v>
      </c>
      <c r="Z7" s="61" t="str">
        <f t="shared" si="3"/>
        <v>-</v>
      </c>
      <c r="AA7" s="62" t="str">
        <f t="shared" si="3"/>
        <v>-</v>
      </c>
      <c r="AB7" s="63" t="str">
        <f t="shared" si="3"/>
        <v>-</v>
      </c>
      <c r="AC7" s="61" t="str">
        <f t="shared" si="3"/>
        <v>-</v>
      </c>
      <c r="AD7" s="62" t="str">
        <f t="shared" si="3"/>
        <v>-</v>
      </c>
      <c r="AE7" s="64" t="str">
        <f t="shared" si="3"/>
        <v>-</v>
      </c>
    </row>
    <row r="8" spans="1:31">
      <c r="A8" s="37" t="s">
        <v>44</v>
      </c>
      <c r="B8" s="38">
        <v>154000</v>
      </c>
      <c r="C8" s="39">
        <v>144000</v>
      </c>
      <c r="D8" s="40">
        <v>173000</v>
      </c>
      <c r="E8" s="38">
        <v>3154</v>
      </c>
      <c r="F8" s="39">
        <v>2816</v>
      </c>
      <c r="G8" s="40">
        <v>3154</v>
      </c>
      <c r="H8" s="38">
        <v>2521</v>
      </c>
      <c r="I8" s="39">
        <v>2552</v>
      </c>
      <c r="J8" s="40">
        <v>2861</v>
      </c>
      <c r="K8" s="38">
        <v>1812</v>
      </c>
      <c r="L8" s="39">
        <v>1846</v>
      </c>
      <c r="M8" s="40">
        <v>2042</v>
      </c>
      <c r="N8" s="41">
        <f t="shared" si="0"/>
        <v>20.480519480519479</v>
      </c>
      <c r="O8" s="42">
        <f t="shared" si="0"/>
        <v>19.555555555555557</v>
      </c>
      <c r="P8" s="43">
        <f t="shared" si="0"/>
        <v>18.23121387283237</v>
      </c>
      <c r="Q8" s="44">
        <f t="shared" si="1"/>
        <v>16.370129870129869</v>
      </c>
      <c r="R8" s="45">
        <f t="shared" si="1"/>
        <v>17.722222222222221</v>
      </c>
      <c r="S8" s="46">
        <f t="shared" si="1"/>
        <v>16.537572254335259</v>
      </c>
      <c r="T8" s="44">
        <f t="shared" si="2"/>
        <v>11.766233766233766</v>
      </c>
      <c r="U8" s="45">
        <f t="shared" si="2"/>
        <v>12.819444444444445</v>
      </c>
      <c r="V8" s="46">
        <f t="shared" si="2"/>
        <v>11.803468208092486</v>
      </c>
      <c r="W8" s="47" t="str">
        <f t="shared" si="3"/>
        <v>-</v>
      </c>
      <c r="X8" s="48" t="str">
        <f t="shared" si="3"/>
        <v>-</v>
      </c>
      <c r="Y8" s="49" t="str">
        <f t="shared" si="3"/>
        <v>-</v>
      </c>
      <c r="Z8" s="47" t="str">
        <f t="shared" si="3"/>
        <v>-</v>
      </c>
      <c r="AA8" s="48" t="str">
        <f t="shared" si="3"/>
        <v>-</v>
      </c>
      <c r="AB8" s="49" t="str">
        <f t="shared" si="3"/>
        <v>-</v>
      </c>
      <c r="AC8" s="47" t="str">
        <f t="shared" si="3"/>
        <v>-</v>
      </c>
      <c r="AD8" s="48" t="str">
        <f t="shared" si="3"/>
        <v>-</v>
      </c>
      <c r="AE8" s="50" t="str">
        <f t="shared" si="3"/>
        <v>-</v>
      </c>
    </row>
    <row r="9" spans="1:31">
      <c r="A9" s="51" t="s">
        <v>45</v>
      </c>
      <c r="B9" s="52">
        <v>1192000</v>
      </c>
      <c r="C9" s="53">
        <v>1160000</v>
      </c>
      <c r="D9" s="54">
        <v>1187000</v>
      </c>
      <c r="E9" s="52">
        <v>1267</v>
      </c>
      <c r="F9" s="53">
        <v>1334</v>
      </c>
      <c r="G9" s="54">
        <v>1235</v>
      </c>
      <c r="H9" s="52">
        <v>869</v>
      </c>
      <c r="I9" s="53">
        <v>815</v>
      </c>
      <c r="J9" s="54">
        <v>943</v>
      </c>
      <c r="K9" s="52">
        <v>597</v>
      </c>
      <c r="L9" s="53">
        <v>608</v>
      </c>
      <c r="M9" s="54">
        <v>673</v>
      </c>
      <c r="N9" s="55">
        <f t="shared" si="0"/>
        <v>1.0629194630872483</v>
      </c>
      <c r="O9" s="56">
        <f t="shared" si="0"/>
        <v>1.1499999999999999</v>
      </c>
      <c r="P9" s="57">
        <f t="shared" si="0"/>
        <v>1.0404380791912384</v>
      </c>
      <c r="Q9" s="58">
        <f t="shared" si="1"/>
        <v>0.72902684563758391</v>
      </c>
      <c r="R9" s="59">
        <f t="shared" si="1"/>
        <v>0.70258620689655171</v>
      </c>
      <c r="S9" s="60">
        <f t="shared" si="1"/>
        <v>0.79443976411120476</v>
      </c>
      <c r="T9" s="58">
        <f t="shared" si="2"/>
        <v>0.50083892617449666</v>
      </c>
      <c r="U9" s="59">
        <f t="shared" si="2"/>
        <v>0.52413793103448281</v>
      </c>
      <c r="V9" s="60">
        <f t="shared" si="2"/>
        <v>0.56697556866048859</v>
      </c>
      <c r="W9" s="61" t="str">
        <f t="shared" si="3"/>
        <v>-</v>
      </c>
      <c r="X9" s="62" t="str">
        <f t="shared" si="3"/>
        <v>-</v>
      </c>
      <c r="Y9" s="63" t="str">
        <f t="shared" si="3"/>
        <v>-</v>
      </c>
      <c r="Z9" s="61" t="str">
        <f t="shared" si="3"/>
        <v>-</v>
      </c>
      <c r="AA9" s="62" t="str">
        <f t="shared" si="3"/>
        <v>-</v>
      </c>
      <c r="AB9" s="63" t="str">
        <f t="shared" si="3"/>
        <v>-</v>
      </c>
      <c r="AC9" s="61" t="str">
        <f t="shared" si="3"/>
        <v>-</v>
      </c>
      <c r="AD9" s="62" t="str">
        <f t="shared" si="3"/>
        <v>-</v>
      </c>
      <c r="AE9" s="64" t="str">
        <f t="shared" si="3"/>
        <v>-</v>
      </c>
    </row>
    <row r="10" spans="1:31">
      <c r="A10" s="37" t="s">
        <v>46</v>
      </c>
      <c r="B10" s="38">
        <v>144000</v>
      </c>
      <c r="C10" s="39">
        <v>142000</v>
      </c>
      <c r="D10" s="40">
        <v>170000</v>
      </c>
      <c r="E10" s="38">
        <v>1671</v>
      </c>
      <c r="F10" s="39">
        <v>2144</v>
      </c>
      <c r="G10" s="40">
        <v>2924</v>
      </c>
      <c r="H10" s="38">
        <v>902</v>
      </c>
      <c r="I10" s="39">
        <v>849</v>
      </c>
      <c r="J10" s="40">
        <v>1351</v>
      </c>
      <c r="K10" s="38">
        <v>624</v>
      </c>
      <c r="L10" s="39">
        <v>608</v>
      </c>
      <c r="M10" s="40">
        <v>919</v>
      </c>
      <c r="N10" s="41">
        <f t="shared" si="0"/>
        <v>11.604166666666666</v>
      </c>
      <c r="O10" s="42">
        <f t="shared" si="0"/>
        <v>15.098591549295774</v>
      </c>
      <c r="P10" s="43">
        <f t="shared" si="0"/>
        <v>17.2</v>
      </c>
      <c r="Q10" s="44">
        <f t="shared" si="1"/>
        <v>6.2638888888888893</v>
      </c>
      <c r="R10" s="45">
        <f t="shared" si="1"/>
        <v>5.97887323943662</v>
      </c>
      <c r="S10" s="46">
        <f t="shared" si="1"/>
        <v>7.947058823529412</v>
      </c>
      <c r="T10" s="44">
        <f t="shared" si="2"/>
        <v>4.333333333333333</v>
      </c>
      <c r="U10" s="45">
        <f t="shared" si="2"/>
        <v>4.28169014084507</v>
      </c>
      <c r="V10" s="46">
        <f t="shared" si="2"/>
        <v>5.4058823529411768</v>
      </c>
      <c r="W10" s="47" t="str">
        <f t="shared" si="3"/>
        <v>-</v>
      </c>
      <c r="X10" s="48" t="str">
        <f t="shared" si="3"/>
        <v>-</v>
      </c>
      <c r="Y10" s="49" t="str">
        <f t="shared" si="3"/>
        <v>-</v>
      </c>
      <c r="Z10" s="47" t="str">
        <f t="shared" si="3"/>
        <v>-</v>
      </c>
      <c r="AA10" s="48" t="str">
        <f t="shared" si="3"/>
        <v>-</v>
      </c>
      <c r="AB10" s="49" t="str">
        <f t="shared" si="3"/>
        <v>-</v>
      </c>
      <c r="AC10" s="47" t="str">
        <f t="shared" si="3"/>
        <v>-</v>
      </c>
      <c r="AD10" s="48" t="str">
        <f t="shared" si="3"/>
        <v>-</v>
      </c>
      <c r="AE10" s="50" t="str">
        <f t="shared" si="3"/>
        <v>-</v>
      </c>
    </row>
    <row r="11" spans="1:31">
      <c r="A11" s="51" t="s">
        <v>47</v>
      </c>
      <c r="B11" s="52">
        <v>168000</v>
      </c>
      <c r="C11" s="53">
        <v>165000</v>
      </c>
      <c r="D11" s="54">
        <v>228000</v>
      </c>
      <c r="E11" s="52">
        <v>308</v>
      </c>
      <c r="F11" s="53">
        <v>437</v>
      </c>
      <c r="G11" s="54">
        <v>451</v>
      </c>
      <c r="H11" s="52">
        <v>247</v>
      </c>
      <c r="I11" s="53">
        <v>370</v>
      </c>
      <c r="J11" s="54">
        <v>363</v>
      </c>
      <c r="K11" s="52">
        <v>171</v>
      </c>
      <c r="L11" s="53">
        <v>249</v>
      </c>
      <c r="M11" s="54">
        <v>249</v>
      </c>
      <c r="N11" s="55">
        <f t="shared" si="0"/>
        <v>1.8333333333333333</v>
      </c>
      <c r="O11" s="56">
        <f t="shared" si="0"/>
        <v>2.6484848484848484</v>
      </c>
      <c r="P11" s="57">
        <f t="shared" si="0"/>
        <v>1.9780701754385965</v>
      </c>
      <c r="Q11" s="58">
        <f t="shared" si="1"/>
        <v>1.4702380952380953</v>
      </c>
      <c r="R11" s="59">
        <f t="shared" si="1"/>
        <v>2.2424242424242422</v>
      </c>
      <c r="S11" s="60">
        <f t="shared" si="1"/>
        <v>1.5921052631578947</v>
      </c>
      <c r="T11" s="58">
        <f t="shared" si="2"/>
        <v>1.0178571428571428</v>
      </c>
      <c r="U11" s="59">
        <f t="shared" si="2"/>
        <v>1.509090909090909</v>
      </c>
      <c r="V11" s="60">
        <f t="shared" si="2"/>
        <v>1.0921052631578947</v>
      </c>
      <c r="W11" s="61" t="str">
        <f t="shared" si="3"/>
        <v>-</v>
      </c>
      <c r="X11" s="62" t="str">
        <f t="shared" si="3"/>
        <v>-</v>
      </c>
      <c r="Y11" s="63" t="str">
        <f t="shared" si="3"/>
        <v>-</v>
      </c>
      <c r="Z11" s="61" t="str">
        <f t="shared" si="3"/>
        <v>-</v>
      </c>
      <c r="AA11" s="62" t="str">
        <f t="shared" si="3"/>
        <v>-</v>
      </c>
      <c r="AB11" s="63" t="str">
        <f t="shared" si="3"/>
        <v>-</v>
      </c>
      <c r="AC11" s="61" t="str">
        <f t="shared" si="3"/>
        <v>-</v>
      </c>
      <c r="AD11" s="62" t="str">
        <f t="shared" si="3"/>
        <v>-</v>
      </c>
      <c r="AE11" s="64" t="str">
        <f t="shared" si="3"/>
        <v>-</v>
      </c>
    </row>
    <row r="12" spans="1:31">
      <c r="A12" s="37" t="s">
        <v>48</v>
      </c>
      <c r="B12" s="38">
        <v>50000</v>
      </c>
      <c r="C12" s="39">
        <v>57000</v>
      </c>
      <c r="D12" s="40">
        <v>64000</v>
      </c>
      <c r="E12" s="38">
        <v>322</v>
      </c>
      <c r="F12" s="39">
        <v>458</v>
      </c>
      <c r="G12" s="40">
        <v>472</v>
      </c>
      <c r="H12" s="38">
        <v>203</v>
      </c>
      <c r="I12" s="39">
        <v>306</v>
      </c>
      <c r="J12" s="40">
        <v>299</v>
      </c>
      <c r="K12" s="38">
        <v>164</v>
      </c>
      <c r="L12" s="39">
        <v>239</v>
      </c>
      <c r="M12" s="40">
        <v>238</v>
      </c>
      <c r="N12" s="41">
        <f t="shared" si="0"/>
        <v>6.44</v>
      </c>
      <c r="O12" s="42">
        <f t="shared" si="0"/>
        <v>8.0350877192982448</v>
      </c>
      <c r="P12" s="43">
        <f t="shared" si="0"/>
        <v>7.375</v>
      </c>
      <c r="Q12" s="44">
        <f t="shared" si="1"/>
        <v>4.0599999999999996</v>
      </c>
      <c r="R12" s="45">
        <f t="shared" si="1"/>
        <v>5.3684210526315788</v>
      </c>
      <c r="S12" s="46">
        <f t="shared" si="1"/>
        <v>4.671875</v>
      </c>
      <c r="T12" s="44">
        <f t="shared" si="2"/>
        <v>3.28</v>
      </c>
      <c r="U12" s="45">
        <f t="shared" si="2"/>
        <v>4.192982456140351</v>
      </c>
      <c r="V12" s="46">
        <f t="shared" si="2"/>
        <v>3.71875</v>
      </c>
      <c r="W12" s="47" t="str">
        <f t="shared" si="3"/>
        <v>-</v>
      </c>
      <c r="X12" s="48" t="str">
        <f t="shared" si="3"/>
        <v>-</v>
      </c>
      <c r="Y12" s="49" t="str">
        <f t="shared" si="3"/>
        <v>-</v>
      </c>
      <c r="Z12" s="47" t="str">
        <f t="shared" si="3"/>
        <v>-</v>
      </c>
      <c r="AA12" s="48" t="str">
        <f t="shared" si="3"/>
        <v>-</v>
      </c>
      <c r="AB12" s="49" t="str">
        <f t="shared" si="3"/>
        <v>-</v>
      </c>
      <c r="AC12" s="47" t="str">
        <f t="shared" si="3"/>
        <v>-</v>
      </c>
      <c r="AD12" s="48" t="str">
        <f t="shared" si="3"/>
        <v>-</v>
      </c>
      <c r="AE12" s="50" t="str">
        <f t="shared" si="3"/>
        <v>-</v>
      </c>
    </row>
    <row r="13" spans="1:31">
      <c r="A13" s="51" t="s">
        <v>49</v>
      </c>
      <c r="B13" s="52">
        <v>4000</v>
      </c>
      <c r="C13" s="53">
        <v>4000</v>
      </c>
      <c r="D13" s="54">
        <v>4000</v>
      </c>
      <c r="E13" s="52">
        <v>505</v>
      </c>
      <c r="F13" s="53">
        <v>659</v>
      </c>
      <c r="G13" s="54">
        <v>162</v>
      </c>
      <c r="H13" s="52">
        <v>128</v>
      </c>
      <c r="I13" s="53">
        <v>479</v>
      </c>
      <c r="J13" s="54">
        <v>220</v>
      </c>
      <c r="K13" s="52">
        <v>498</v>
      </c>
      <c r="L13" s="53">
        <v>422</v>
      </c>
      <c r="M13" s="54">
        <v>538</v>
      </c>
      <c r="N13" s="55">
        <f t="shared" si="0"/>
        <v>126.25</v>
      </c>
      <c r="O13" s="56">
        <f t="shared" si="0"/>
        <v>164.75</v>
      </c>
      <c r="P13" s="57">
        <f t="shared" si="0"/>
        <v>40.5</v>
      </c>
      <c r="Q13" s="58">
        <f t="shared" si="1"/>
        <v>32</v>
      </c>
      <c r="R13" s="59">
        <f t="shared" si="1"/>
        <v>119.75</v>
      </c>
      <c r="S13" s="60">
        <f t="shared" si="1"/>
        <v>55</v>
      </c>
      <c r="T13" s="58">
        <f t="shared" si="2"/>
        <v>124.5</v>
      </c>
      <c r="U13" s="59">
        <f t="shared" si="2"/>
        <v>105.5</v>
      </c>
      <c r="V13" s="60">
        <f t="shared" si="2"/>
        <v>134.5</v>
      </c>
      <c r="W13" s="61" t="str">
        <f t="shared" si="3"/>
        <v>-</v>
      </c>
      <c r="X13" s="62" t="str">
        <f t="shared" si="3"/>
        <v>-</v>
      </c>
      <c r="Y13" s="63" t="str">
        <f t="shared" si="3"/>
        <v>-</v>
      </c>
      <c r="Z13" s="61" t="str">
        <f t="shared" si="3"/>
        <v>-</v>
      </c>
      <c r="AA13" s="62" t="str">
        <f t="shared" si="3"/>
        <v>-</v>
      </c>
      <c r="AB13" s="63" t="str">
        <f t="shared" si="3"/>
        <v>-</v>
      </c>
      <c r="AC13" s="61" t="str">
        <f t="shared" si="3"/>
        <v>-</v>
      </c>
      <c r="AD13" s="62" t="str">
        <f t="shared" si="3"/>
        <v>-</v>
      </c>
      <c r="AE13" s="64" t="str">
        <f t="shared" si="3"/>
        <v>-</v>
      </c>
    </row>
    <row r="14" spans="1:31" ht="17.25" customHeight="1">
      <c r="A14" s="65"/>
      <c r="B14" s="66"/>
      <c r="C14" s="67"/>
      <c r="D14" s="68"/>
      <c r="E14" s="69">
        <f>SUM(E7,E8,E9,E10,E11,E12,E13)</f>
        <v>33760</v>
      </c>
      <c r="F14" s="67">
        <f>SUM(F7,F8,F9,F10,F11,F12,F13)</f>
        <v>34821</v>
      </c>
      <c r="G14" s="70">
        <f>SUM(G7,G8,G9,G10,G11,G12,G13)</f>
        <v>41041</v>
      </c>
      <c r="H14" s="71">
        <f>SUM(H7,H8,H9,H10,H11,H12,H13)</f>
        <v>19186</v>
      </c>
      <c r="I14" s="67">
        <f>SUM(I7,I9,I8,I10,I11,I12,I13)</f>
        <v>20590</v>
      </c>
      <c r="J14" s="71">
        <f>SUM(J7,J8,J9,J10,J11,J12,J13)</f>
        <v>23688</v>
      </c>
      <c r="K14" s="69">
        <f>SUM(K7,K8,K9,K10,K11,K12,K13)</f>
        <v>13596</v>
      </c>
      <c r="L14" s="67">
        <f>SUM(L7,L8,L9,L10,L11,L12,L13)</f>
        <v>14314</v>
      </c>
      <c r="M14" s="70">
        <f>SUM(M7,M8,M9,M10,M11,M12,M13)</f>
        <v>16754</v>
      </c>
      <c r="N14" s="41"/>
      <c r="O14" s="42"/>
      <c r="P14" s="43"/>
      <c r="Q14" s="72"/>
      <c r="R14" s="42"/>
      <c r="S14" s="73"/>
      <c r="T14" s="72"/>
      <c r="U14" s="42"/>
      <c r="V14" s="73"/>
      <c r="W14" s="74"/>
      <c r="X14" s="75"/>
      <c r="Y14" s="76"/>
      <c r="Z14" s="74"/>
      <c r="AA14" s="75"/>
      <c r="AB14" s="76"/>
      <c r="AC14" s="74"/>
      <c r="AD14" s="75"/>
      <c r="AE14" s="77"/>
    </row>
    <row r="15" spans="1:31" ht="18" customHeight="1">
      <c r="A15" s="78" t="s">
        <v>50</v>
      </c>
      <c r="B15" s="79">
        <f t="shared" ref="B15:M15" si="4">SUM(B6:B13)</f>
        <v>3112000</v>
      </c>
      <c r="C15" s="80">
        <f t="shared" si="4"/>
        <v>3149000</v>
      </c>
      <c r="D15" s="81">
        <f t="shared" si="4"/>
        <v>3382000</v>
      </c>
      <c r="E15" s="79">
        <f t="shared" si="4"/>
        <v>65396</v>
      </c>
      <c r="F15" s="80">
        <f t="shared" si="4"/>
        <v>72885</v>
      </c>
      <c r="G15" s="82">
        <f t="shared" si="4"/>
        <v>82091</v>
      </c>
      <c r="H15" s="83">
        <f t="shared" si="4"/>
        <v>38741</v>
      </c>
      <c r="I15" s="80">
        <f t="shared" si="4"/>
        <v>43861</v>
      </c>
      <c r="J15" s="81">
        <f t="shared" si="4"/>
        <v>48078</v>
      </c>
      <c r="K15" s="79">
        <f t="shared" si="4"/>
        <v>32774</v>
      </c>
      <c r="L15" s="80">
        <f t="shared" si="4"/>
        <v>37200</v>
      </c>
      <c r="M15" s="82">
        <f t="shared" si="4"/>
        <v>41144</v>
      </c>
      <c r="N15" s="84"/>
      <c r="O15" s="84"/>
      <c r="P15" s="84"/>
      <c r="Q15" s="84"/>
      <c r="R15" s="84"/>
      <c r="S15" s="84"/>
      <c r="T15" s="84"/>
      <c r="U15" s="84"/>
      <c r="V15" s="84"/>
      <c r="W15" s="85">
        <f t="shared" ref="W15:AE15" si="5">SUM(W6:W13)</f>
        <v>0</v>
      </c>
      <c r="X15" s="86">
        <f t="shared" si="5"/>
        <v>0</v>
      </c>
      <c r="Y15" s="87">
        <f t="shared" si="5"/>
        <v>0</v>
      </c>
      <c r="Z15" s="85">
        <f t="shared" si="5"/>
        <v>0</v>
      </c>
      <c r="AA15" s="86">
        <f t="shared" si="5"/>
        <v>0</v>
      </c>
      <c r="AB15" s="87">
        <f t="shared" si="5"/>
        <v>0</v>
      </c>
      <c r="AC15" s="85">
        <f t="shared" si="5"/>
        <v>0</v>
      </c>
      <c r="AD15" s="86">
        <f t="shared" si="5"/>
        <v>0</v>
      </c>
      <c r="AE15" s="88">
        <f t="shared" si="5"/>
        <v>0</v>
      </c>
    </row>
    <row r="16" spans="1:31" ht="17.25" customHeight="1">
      <c r="C16" s="2" t="s">
        <v>51</v>
      </c>
      <c r="D16" s="89" t="s">
        <v>52</v>
      </c>
      <c r="E16" s="89">
        <f>(E15/18718000)</f>
        <v>3.4937493321936103E-3</v>
      </c>
      <c r="F16" s="89">
        <f>(F15/19275500)</f>
        <v>3.7812248709501698E-3</v>
      </c>
      <c r="G16" s="89">
        <f>(G15/19835858)</f>
        <v>4.1385152081649303E-3</v>
      </c>
      <c r="H16" s="89">
        <f>(H15/18718019)</f>
        <v>2.0697168861726232E-3</v>
      </c>
      <c r="I16" s="89">
        <f>(I15/19275498)</f>
        <v>2.27547947139939E-3</v>
      </c>
      <c r="J16" s="89">
        <f>(J15/19835858)</f>
        <v>2.4237923058332035E-3</v>
      </c>
      <c r="S16" s="2" t="s">
        <v>53</v>
      </c>
      <c r="T16" s="2" t="s">
        <v>54</v>
      </c>
    </row>
    <row r="17" spans="2:25">
      <c r="B17" s="2" t="s">
        <v>55</v>
      </c>
      <c r="C17" s="2" t="s">
        <v>56</v>
      </c>
      <c r="D17" s="2" t="s">
        <v>52</v>
      </c>
      <c r="E17" s="2">
        <f>(165600/23251485)</f>
        <v>7.1221257480973792E-3</v>
      </c>
      <c r="H17" s="2">
        <f>(69000/23251485)</f>
        <v>2.9675523950405749E-3</v>
      </c>
      <c r="N17" s="2" t="s">
        <v>57</v>
      </c>
      <c r="P17" s="2">
        <f>SUM(G16,E17)</f>
        <v>1.126064095626231E-2</v>
      </c>
      <c r="Q17" s="2">
        <f>(P17*1000)</f>
        <v>11.260640956262309</v>
      </c>
      <c r="R17" s="2">
        <f>(Q17/2)</f>
        <v>5.6303204781311544</v>
      </c>
      <c r="S17" s="2">
        <f>(R17/2)</f>
        <v>2.8151602390655772</v>
      </c>
      <c r="T17" s="2">
        <f>(S17/5.7)</f>
        <v>0.49388776123957495</v>
      </c>
      <c r="V17" s="90">
        <f>((5.7-2.81516)/5.7)</f>
        <v>0.5061122807017544</v>
      </c>
    </row>
    <row r="18" spans="2:25">
      <c r="C18" s="91" t="s">
        <v>58</v>
      </c>
      <c r="D18" s="92"/>
      <c r="E18" s="92"/>
      <c r="F18" s="92"/>
      <c r="G18" s="92"/>
      <c r="H18" s="92"/>
      <c r="I18" s="92"/>
      <c r="N18" s="2" t="s">
        <v>59</v>
      </c>
      <c r="P18" s="2">
        <v>3.9550000000000002E-3</v>
      </c>
      <c r="Q18" s="2">
        <f>(P18*1000)</f>
        <v>3.9550000000000001</v>
      </c>
      <c r="R18" s="2">
        <f>(Q18/2)</f>
        <v>1.9775</v>
      </c>
      <c r="S18" s="2">
        <f>(R18/2)</f>
        <v>0.98875000000000002</v>
      </c>
      <c r="U18" s="2">
        <f>(S18*0.4364)</f>
        <v>0.4314905</v>
      </c>
      <c r="V18" s="90">
        <f>((0.52-0.43)/0.52)</f>
        <v>0.17307692307692313</v>
      </c>
    </row>
    <row r="19" spans="2:25">
      <c r="C19" s="92" t="s">
        <v>60</v>
      </c>
      <c r="D19" s="92"/>
      <c r="E19" s="92"/>
      <c r="F19" s="92"/>
      <c r="G19" s="93"/>
      <c r="H19" s="93"/>
      <c r="I19" s="93"/>
      <c r="X19" s="2" t="s">
        <v>61</v>
      </c>
      <c r="Y19" s="2" t="s">
        <v>62</v>
      </c>
    </row>
    <row r="20" spans="2:25">
      <c r="C20" s="92" t="s">
        <v>63</v>
      </c>
      <c r="D20" s="92"/>
      <c r="E20" s="92"/>
      <c r="F20" s="92"/>
      <c r="G20" s="93"/>
      <c r="H20" s="93"/>
      <c r="I20" s="93"/>
      <c r="V20" s="2" t="s">
        <v>64</v>
      </c>
      <c r="W20" s="94"/>
      <c r="X20" s="2"/>
      <c r="Y20" s="2"/>
    </row>
    <row r="21" spans="2:25">
      <c r="C21" s="92"/>
      <c r="D21" s="92"/>
      <c r="E21" s="92"/>
      <c r="F21" s="92"/>
      <c r="G21" s="93"/>
      <c r="H21" s="93"/>
      <c r="I21" s="93"/>
      <c r="P21" s="2" t="s">
        <v>65</v>
      </c>
      <c r="V21" s="2" t="s">
        <v>66</v>
      </c>
      <c r="W21" s="94"/>
      <c r="X21" s="2"/>
      <c r="Y21" s="2"/>
    </row>
    <row r="22" spans="2:25">
      <c r="C22" s="95" t="s">
        <v>67</v>
      </c>
      <c r="D22" s="93"/>
      <c r="E22" s="93"/>
      <c r="F22" s="93"/>
      <c r="G22" s="93"/>
      <c r="H22" s="93"/>
      <c r="I22" s="93"/>
    </row>
    <row r="23" spans="2:25">
      <c r="C23" s="93" t="s">
        <v>68</v>
      </c>
      <c r="D23" s="93"/>
      <c r="E23" s="93"/>
      <c r="F23" s="93"/>
      <c r="G23" s="93"/>
      <c r="H23" s="93"/>
      <c r="I23" s="93"/>
    </row>
    <row r="24" spans="2:25">
      <c r="C24" s="93" t="s">
        <v>69</v>
      </c>
      <c r="D24" s="92"/>
      <c r="E24" s="92"/>
      <c r="F24" s="92"/>
      <c r="G24" s="92"/>
      <c r="H24" s="92"/>
      <c r="I24" s="92"/>
    </row>
    <row r="25" spans="2:25">
      <c r="C25" s="92"/>
      <c r="D25" s="92"/>
      <c r="E25" s="92"/>
      <c r="F25" s="92"/>
      <c r="G25" s="92"/>
      <c r="H25" s="92"/>
      <c r="I25" s="92"/>
      <c r="S25" s="2" t="s">
        <v>70</v>
      </c>
      <c r="U25" s="2">
        <f>(36.4/583)</f>
        <v>6.243567753001715E-2</v>
      </c>
    </row>
    <row r="26" spans="2:25">
      <c r="C26" s="91" t="s">
        <v>71</v>
      </c>
      <c r="D26" s="92"/>
      <c r="E26" s="92"/>
      <c r="F26" s="92"/>
      <c r="G26" s="92"/>
      <c r="H26" s="92"/>
      <c r="I26" s="92"/>
    </row>
    <row r="32" spans="2:25" ht="17.25" customHeight="1"/>
    <row r="33" spans="6:15" ht="18" customHeight="1">
      <c r="G33" s="20">
        <v>2015</v>
      </c>
      <c r="H33" s="19">
        <v>2016</v>
      </c>
      <c r="I33" s="21">
        <v>2017</v>
      </c>
      <c r="J33" s="18">
        <v>2015</v>
      </c>
      <c r="K33" s="19">
        <v>2016</v>
      </c>
      <c r="L33" s="22">
        <v>2017</v>
      </c>
      <c r="M33" s="18"/>
      <c r="N33" s="19"/>
      <c r="O33" s="18"/>
    </row>
    <row r="34" spans="6:15" ht="17.25" customHeight="1"/>
    <row r="36" spans="6:15">
      <c r="G36" s="2">
        <v>2015</v>
      </c>
      <c r="H36" s="2">
        <v>2016</v>
      </c>
      <c r="I36" s="2">
        <v>2017</v>
      </c>
    </row>
    <row r="37" spans="6:15">
      <c r="F37" s="2" t="s">
        <v>38</v>
      </c>
      <c r="G37" s="2">
        <v>33760</v>
      </c>
      <c r="H37" s="2">
        <v>34821</v>
      </c>
      <c r="I37" s="2">
        <v>41041</v>
      </c>
    </row>
    <row r="38" spans="6:15">
      <c r="F38" s="2" t="s">
        <v>39</v>
      </c>
      <c r="G38" s="2">
        <v>19186</v>
      </c>
      <c r="H38" s="2">
        <v>20590</v>
      </c>
      <c r="I38" s="2">
        <v>23688</v>
      </c>
    </row>
  </sheetData>
  <mergeCells count="18">
    <mergeCell ref="A2:A3"/>
    <mergeCell ref="B2:D3"/>
    <mergeCell ref="E2:M2"/>
    <mergeCell ref="N2:V2"/>
    <mergeCell ref="W2:AE2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B1:D1"/>
    <mergeCell ref="E1:M1"/>
    <mergeCell ref="N1:V1"/>
    <mergeCell ref="W1:AE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5"/>
  <sheetViews>
    <sheetView zoomScaleNormal="100" workbookViewId="0">
      <selection activeCell="A3" sqref="A3"/>
    </sheetView>
  </sheetViews>
  <sheetFormatPr defaultColWidth="8.453125" defaultRowHeight="17"/>
  <cols>
    <col min="1" max="1" width="34" style="1" customWidth="1"/>
    <col min="2" max="3" width="20" style="1" customWidth="1"/>
    <col min="4" max="5" width="24" style="1" customWidth="1"/>
    <col min="6" max="7" width="22" style="1" customWidth="1"/>
    <col min="8" max="10" width="16" style="1" customWidth="1"/>
    <col min="11" max="11" width="18" style="1" customWidth="1"/>
  </cols>
  <sheetData>
    <row r="1" spans="1:2">
      <c r="A1" s="96" t="s">
        <v>72</v>
      </c>
    </row>
    <row r="3" spans="1:2">
      <c r="A3" s="2" t="s">
        <v>73</v>
      </c>
    </row>
    <row r="5" spans="1:2">
      <c r="A5" s="97" t="s">
        <v>74</v>
      </c>
    </row>
    <row r="6" spans="1:2">
      <c r="A6" s="98" t="s">
        <v>75</v>
      </c>
      <c r="B6" s="98" t="s">
        <v>76</v>
      </c>
    </row>
    <row r="7" spans="1:2">
      <c r="A7" s="2">
        <v>2025</v>
      </c>
      <c r="B7" s="2">
        <v>24075000</v>
      </c>
    </row>
    <row r="8" spans="1:2">
      <c r="A8" s="2">
        <v>2050</v>
      </c>
      <c r="B8" s="2">
        <v>37304000</v>
      </c>
    </row>
    <row r="9" spans="1:2">
      <c r="A9" s="2">
        <v>2075</v>
      </c>
      <c r="B9" s="2">
        <v>46764000</v>
      </c>
    </row>
    <row r="10" spans="1:2">
      <c r="A10" s="2">
        <v>2100</v>
      </c>
      <c r="B10" s="2">
        <v>49846000</v>
      </c>
    </row>
    <row r="14" spans="1:2" ht="84.75" customHeight="1"/>
    <row r="15" spans="1:2" ht="135.75" customHeight="1"/>
    <row r="16" spans="1:2" ht="135.75" customHeight="1"/>
    <row r="17" ht="102" customHeight="1"/>
    <row r="18" ht="84.75" customHeight="1"/>
    <row r="20" ht="84.75" customHeight="1"/>
    <row r="21" ht="67.5" customHeight="1"/>
    <row r="63" ht="118.5" customHeight="1"/>
    <row r="72" ht="118.5" customHeight="1"/>
    <row r="75" ht="25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Normal="100" workbookViewId="0">
      <selection activeCell="A30" sqref="A30"/>
    </sheetView>
  </sheetViews>
  <sheetFormatPr defaultColWidth="8.453125" defaultRowHeight="17"/>
  <cols>
    <col min="1" max="1" width="55" style="1" customWidth="1"/>
    <col min="2" max="2" width="14" style="1" customWidth="1"/>
    <col min="3" max="3" width="8" style="1" customWidth="1"/>
    <col min="4" max="4" width="80" style="1" customWidth="1"/>
  </cols>
  <sheetData>
    <row r="1" spans="1:4">
      <c r="A1" s="96" t="s">
        <v>77</v>
      </c>
    </row>
    <row r="3" spans="1:4">
      <c r="A3" s="98" t="s">
        <v>78</v>
      </c>
    </row>
    <row r="4" spans="1:4">
      <c r="A4" s="99" t="s">
        <v>79</v>
      </c>
    </row>
    <row r="5" spans="1:4">
      <c r="A5" s="99" t="s">
        <v>80</v>
      </c>
    </row>
    <row r="6" spans="1:4">
      <c r="A6" s="99"/>
    </row>
    <row r="7" spans="1:4">
      <c r="A7" s="99"/>
    </row>
    <row r="8" spans="1:4">
      <c r="A8" s="99"/>
    </row>
    <row r="10" spans="1:4">
      <c r="A10" s="100" t="s">
        <v>81</v>
      </c>
      <c r="B10" s="100" t="s">
        <v>82</v>
      </c>
      <c r="C10" s="100" t="s">
        <v>83</v>
      </c>
      <c r="D10" s="100" t="s">
        <v>84</v>
      </c>
    </row>
    <row r="11" spans="1:4">
      <c r="A11" s="2" t="s">
        <v>85</v>
      </c>
      <c r="B11" s="2">
        <v>6</v>
      </c>
      <c r="C11" s="2" t="s">
        <v>86</v>
      </c>
      <c r="D11" s="2" t="s">
        <v>87</v>
      </c>
    </row>
    <row r="12" spans="1:4">
      <c r="A12" s="2" t="s">
        <v>88</v>
      </c>
      <c r="B12" s="2">
        <v>21.93</v>
      </c>
      <c r="C12" s="2" t="s">
        <v>37</v>
      </c>
      <c r="D12" s="2" t="s">
        <v>89</v>
      </c>
    </row>
    <row r="13" spans="1:4">
      <c r="A13" s="2" t="s">
        <v>90</v>
      </c>
      <c r="B13" s="2">
        <v>27.1356</v>
      </c>
      <c r="C13" s="2" t="s">
        <v>86</v>
      </c>
      <c r="D13" s="2" t="s">
        <v>91</v>
      </c>
    </row>
    <row r="14" spans="1:4">
      <c r="A14" s="2" t="s">
        <v>92</v>
      </c>
      <c r="B14" s="2">
        <f>B12*B13/100</f>
        <v>5.9508370800000003</v>
      </c>
      <c r="C14" s="2" t="s">
        <v>86</v>
      </c>
      <c r="D14" s="2" t="s">
        <v>93</v>
      </c>
    </row>
    <row r="15" spans="1:4">
      <c r="A15" s="2" t="s">
        <v>94</v>
      </c>
      <c r="B15" s="2">
        <f>B11+B14</f>
        <v>11.950837079999999</v>
      </c>
      <c r="C15" s="2" t="s">
        <v>86</v>
      </c>
      <c r="D15" s="2" t="s">
        <v>95</v>
      </c>
    </row>
    <row r="17" spans="1:4">
      <c r="A17" s="2" t="s">
        <v>96</v>
      </c>
      <c r="B17" s="2">
        <v>4800</v>
      </c>
      <c r="C17" s="2" t="s">
        <v>86</v>
      </c>
      <c r="D17" s="2" t="s">
        <v>97</v>
      </c>
    </row>
    <row r="18" spans="1:4">
      <c r="A18" s="2" t="s">
        <v>98</v>
      </c>
      <c r="B18" s="2">
        <v>4136</v>
      </c>
      <c r="C18" s="2" t="s">
        <v>86</v>
      </c>
      <c r="D18" s="2" t="s">
        <v>99</v>
      </c>
    </row>
    <row r="20" spans="1:4">
      <c r="A20" s="2" t="s">
        <v>100</v>
      </c>
      <c r="B20" s="2">
        <f>B15/B17*B18</f>
        <v>10.297637950599999</v>
      </c>
      <c r="C20" s="2" t="s">
        <v>86</v>
      </c>
      <c r="D20" s="2" t="s">
        <v>101</v>
      </c>
    </row>
    <row r="21" spans="1:4">
      <c r="A21" s="2" t="s">
        <v>102</v>
      </c>
      <c r="B21" s="2">
        <f>B15/B20</f>
        <v>1.1605415860735011</v>
      </c>
      <c r="C21" s="2" t="s">
        <v>103</v>
      </c>
      <c r="D21" s="2" t="s">
        <v>104</v>
      </c>
    </row>
    <row r="23" spans="1:4">
      <c r="A23" s="99"/>
    </row>
    <row r="24" spans="1:4">
      <c r="A24" s="101" t="s">
        <v>105</v>
      </c>
    </row>
    <row r="25" spans="1:4">
      <c r="A25" s="2" t="s">
        <v>106</v>
      </c>
      <c r="B25" s="2">
        <f>B11/4.97</f>
        <v>1.2072434607645877</v>
      </c>
      <c r="C25" s="2" t="s">
        <v>103</v>
      </c>
      <c r="D2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9"/>
  <sheetViews>
    <sheetView topLeftCell="B1" zoomScaleNormal="100" workbookViewId="0">
      <pane ySplit="10" topLeftCell="A13" activePane="bottomLeft" state="frozen"/>
      <selection activeCell="B1" sqref="B1"/>
      <selection pane="bottomLeft" activeCell="A5" sqref="A5:G5"/>
    </sheetView>
  </sheetViews>
  <sheetFormatPr defaultColWidth="8.453125" defaultRowHeight="17"/>
  <cols>
    <col min="1" max="1" width="26" style="1" customWidth="1"/>
    <col min="2" max="2" width="7" style="1" customWidth="1"/>
    <col min="3" max="3" width="20" style="1" customWidth="1"/>
    <col min="4" max="4" width="30" style="1" customWidth="1"/>
    <col min="5" max="5" width="34" style="1" customWidth="1"/>
    <col min="6" max="6" width="32" style="1" customWidth="1"/>
    <col min="7" max="7" width="34" style="1" customWidth="1"/>
  </cols>
  <sheetData>
    <row r="1" spans="1:7" ht="16.5" customHeight="1">
      <c r="A1" s="143" t="s">
        <v>107</v>
      </c>
      <c r="B1" s="143"/>
      <c r="C1" s="143"/>
      <c r="D1" s="143"/>
      <c r="E1" s="143"/>
      <c r="F1" s="143"/>
      <c r="G1" s="143"/>
    </row>
    <row r="3" spans="1:7">
      <c r="A3" s="142"/>
      <c r="B3" s="142"/>
      <c r="C3" s="142"/>
      <c r="D3" s="142"/>
      <c r="E3" s="142"/>
      <c r="F3" s="142"/>
      <c r="G3" s="142"/>
    </row>
    <row r="4" spans="1:7" ht="60" customHeight="1">
      <c r="A4" s="144" t="s">
        <v>108</v>
      </c>
      <c r="B4" s="144"/>
      <c r="C4" s="144"/>
      <c r="D4" s="144"/>
      <c r="E4" s="144"/>
      <c r="F4" s="144"/>
      <c r="G4" s="144"/>
    </row>
    <row r="5" spans="1:7" ht="60" customHeight="1">
      <c r="A5" s="141" t="s">
        <v>109</v>
      </c>
      <c r="B5" s="141"/>
      <c r="C5" s="141"/>
      <c r="D5" s="141"/>
      <c r="E5" s="141"/>
      <c r="F5" s="141"/>
      <c r="G5" s="141"/>
    </row>
    <row r="6" spans="1:7" ht="60" customHeight="1">
      <c r="A6" s="144"/>
      <c r="B6" s="144"/>
      <c r="C6" s="144"/>
      <c r="D6" s="144"/>
      <c r="E6" s="144"/>
      <c r="F6" s="144"/>
      <c r="G6" s="144"/>
    </row>
    <row r="7" spans="1:7" ht="60" customHeight="1">
      <c r="A7" s="141" t="s">
        <v>110</v>
      </c>
      <c r="B7" s="141"/>
      <c r="C7" s="141"/>
      <c r="D7" s="141"/>
      <c r="E7" s="141"/>
      <c r="F7" s="141"/>
      <c r="G7" s="141"/>
    </row>
    <row r="9" spans="1:7" ht="16.5" customHeight="1">
      <c r="A9" s="142" t="s">
        <v>111</v>
      </c>
      <c r="B9" s="142"/>
      <c r="C9" s="142"/>
      <c r="D9" s="142"/>
      <c r="E9" s="142"/>
      <c r="F9" s="142"/>
      <c r="G9" s="142"/>
    </row>
    <row r="10" spans="1:7">
      <c r="A10" s="102" t="s">
        <v>112</v>
      </c>
      <c r="B10" s="102" t="s">
        <v>75</v>
      </c>
      <c r="C10" s="102" t="s">
        <v>113</v>
      </c>
      <c r="D10" s="102" t="s">
        <v>114</v>
      </c>
      <c r="E10" s="102" t="s">
        <v>115</v>
      </c>
      <c r="F10" s="102" t="s">
        <v>116</v>
      </c>
      <c r="G10" s="102" t="s">
        <v>117</v>
      </c>
    </row>
    <row r="11" spans="1:7" ht="90" customHeight="1">
      <c r="A11" s="103" t="s">
        <v>118</v>
      </c>
      <c r="B11" s="103">
        <v>2013</v>
      </c>
      <c r="C11" s="103" t="s">
        <v>119</v>
      </c>
      <c r="D11" s="103" t="s">
        <v>120</v>
      </c>
      <c r="E11" s="103" t="s">
        <v>121</v>
      </c>
      <c r="F11" s="103" t="s">
        <v>122</v>
      </c>
      <c r="G11" s="103" t="s">
        <v>123</v>
      </c>
    </row>
    <row r="12" spans="1:7" ht="90" customHeight="1">
      <c r="A12" s="103" t="s">
        <v>124</v>
      </c>
      <c r="B12" s="103">
        <v>2018</v>
      </c>
      <c r="C12" s="103" t="s">
        <v>125</v>
      </c>
      <c r="D12" s="103" t="s">
        <v>120</v>
      </c>
      <c r="E12" s="103" t="s">
        <v>126</v>
      </c>
      <c r="F12" s="103" t="s">
        <v>127</v>
      </c>
      <c r="G12" s="103" t="s">
        <v>128</v>
      </c>
    </row>
    <row r="13" spans="1:7" ht="90" customHeight="1">
      <c r="A13" s="103" t="s">
        <v>129</v>
      </c>
      <c r="B13" s="103">
        <v>2020</v>
      </c>
      <c r="C13" s="103" t="s">
        <v>130</v>
      </c>
      <c r="D13" s="103" t="s">
        <v>131</v>
      </c>
      <c r="E13" s="104" t="s">
        <v>132</v>
      </c>
      <c r="F13" s="103" t="s">
        <v>133</v>
      </c>
      <c r="G13" s="104" t="s">
        <v>134</v>
      </c>
    </row>
    <row r="14" spans="1:7" ht="90" customHeight="1">
      <c r="A14" s="103" t="s">
        <v>135</v>
      </c>
      <c r="B14" s="103">
        <v>2018</v>
      </c>
      <c r="C14" s="103" t="s">
        <v>136</v>
      </c>
      <c r="D14" s="103" t="s">
        <v>137</v>
      </c>
      <c r="E14" s="103" t="s">
        <v>138</v>
      </c>
      <c r="F14" s="103" t="s">
        <v>139</v>
      </c>
      <c r="G14" s="103" t="s">
        <v>140</v>
      </c>
    </row>
    <row r="15" spans="1:7" ht="90" customHeight="1">
      <c r="A15" s="103" t="s">
        <v>141</v>
      </c>
      <c r="B15" s="103">
        <v>2024</v>
      </c>
      <c r="C15" s="103" t="s">
        <v>142</v>
      </c>
      <c r="D15" s="103" t="s">
        <v>143</v>
      </c>
      <c r="E15" s="103" t="s">
        <v>144</v>
      </c>
      <c r="F15" s="103" t="s">
        <v>145</v>
      </c>
      <c r="G15" s="103" t="s">
        <v>146</v>
      </c>
    </row>
    <row r="16" spans="1:7" ht="90" customHeight="1">
      <c r="A16" s="103" t="s">
        <v>147</v>
      </c>
      <c r="B16" s="103">
        <v>2025</v>
      </c>
      <c r="C16" s="103" t="s">
        <v>148</v>
      </c>
      <c r="D16" s="103" t="s">
        <v>149</v>
      </c>
      <c r="E16" s="103" t="s">
        <v>150</v>
      </c>
      <c r="F16" s="103" t="s">
        <v>151</v>
      </c>
      <c r="G16" s="103" t="s">
        <v>152</v>
      </c>
    </row>
    <row r="17" spans="1:7" ht="90" customHeight="1">
      <c r="A17" s="103" t="s">
        <v>153</v>
      </c>
      <c r="B17" s="103">
        <v>2025</v>
      </c>
      <c r="C17" s="103" t="s">
        <v>154</v>
      </c>
      <c r="D17" s="103" t="s">
        <v>155</v>
      </c>
      <c r="E17" s="103" t="s">
        <v>156</v>
      </c>
      <c r="F17" s="104" t="s">
        <v>157</v>
      </c>
      <c r="G17" s="104" t="s">
        <v>158</v>
      </c>
    </row>
    <row r="18" spans="1:7" ht="90" customHeight="1">
      <c r="A18" s="103" t="s">
        <v>159</v>
      </c>
      <c r="B18" s="103">
        <v>2025</v>
      </c>
      <c r="C18" s="103" t="s">
        <v>160</v>
      </c>
      <c r="D18" s="103" t="s">
        <v>161</v>
      </c>
      <c r="E18" s="103" t="s">
        <v>162</v>
      </c>
      <c r="F18" s="103" t="s">
        <v>163</v>
      </c>
      <c r="G18" s="103" t="s">
        <v>164</v>
      </c>
    </row>
    <row r="19" spans="1:7" ht="90" customHeight="1">
      <c r="A19" s="103" t="s">
        <v>165</v>
      </c>
      <c r="B19" s="103">
        <v>2026</v>
      </c>
      <c r="C19" s="103" t="s">
        <v>166</v>
      </c>
      <c r="D19" s="103" t="s">
        <v>167</v>
      </c>
      <c r="E19" s="104" t="s">
        <v>168</v>
      </c>
      <c r="F19" s="103" t="s">
        <v>169</v>
      </c>
      <c r="G19" s="103" t="s">
        <v>170</v>
      </c>
    </row>
  </sheetData>
  <mergeCells count="7">
    <mergeCell ref="A7:G7"/>
    <mergeCell ref="A9:G9"/>
    <mergeCell ref="A1:G1"/>
    <mergeCell ref="A3:G3"/>
    <mergeCell ref="A4:G4"/>
    <mergeCell ref="A5:G5"/>
    <mergeCell ref="A6:G6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8"/>
  <sheetViews>
    <sheetView topLeftCell="A103" zoomScaleNormal="100" workbookViewId="0">
      <selection activeCell="A118" sqref="A118"/>
    </sheetView>
  </sheetViews>
  <sheetFormatPr defaultColWidth="8.453125" defaultRowHeight="17"/>
  <cols>
    <col min="1" max="1" width="16" style="1" customWidth="1"/>
    <col min="2" max="2" width="8" style="1" customWidth="1"/>
    <col min="3" max="3" width="26" style="1" customWidth="1"/>
    <col min="4" max="4" width="16" style="1" customWidth="1"/>
    <col min="5" max="5" width="10" style="1" customWidth="1"/>
    <col min="6" max="6" width="20" style="1" customWidth="1"/>
    <col min="7" max="7" width="14" style="1" customWidth="1"/>
  </cols>
  <sheetData>
    <row r="1" spans="1:7">
      <c r="A1" s="96" t="s">
        <v>171</v>
      </c>
    </row>
    <row r="3" spans="1:7">
      <c r="A3" s="105"/>
    </row>
    <row r="5" spans="1:7">
      <c r="A5" s="97" t="s">
        <v>172</v>
      </c>
    </row>
    <row r="6" spans="1:7">
      <c r="A6" s="98" t="s">
        <v>173</v>
      </c>
      <c r="B6" s="98" t="s">
        <v>75</v>
      </c>
      <c r="C6" s="98" t="s">
        <v>174</v>
      </c>
      <c r="D6" s="98" t="s">
        <v>175</v>
      </c>
      <c r="E6" s="98" t="s">
        <v>83</v>
      </c>
      <c r="F6" s="98" t="s">
        <v>176</v>
      </c>
      <c r="G6" s="98" t="s">
        <v>177</v>
      </c>
    </row>
    <row r="7" spans="1:7">
      <c r="A7" s="2" t="s">
        <v>178</v>
      </c>
      <c r="B7" s="2">
        <v>2025</v>
      </c>
      <c r="C7" s="2" t="s">
        <v>179</v>
      </c>
      <c r="D7" s="2">
        <v>6.5310000000000007E-2</v>
      </c>
      <c r="E7" s="2" t="s">
        <v>180</v>
      </c>
      <c r="F7" s="2">
        <v>1.4748000000000001E-2</v>
      </c>
      <c r="G7" s="2">
        <v>4.4283000000000001</v>
      </c>
    </row>
    <row r="8" spans="1:7">
      <c r="A8" s="2" t="s">
        <v>178</v>
      </c>
      <c r="B8" s="2">
        <v>2025</v>
      </c>
      <c r="C8" s="2" t="s">
        <v>181</v>
      </c>
      <c r="D8" s="2">
        <v>6.5310000000000007E-2</v>
      </c>
      <c r="E8" s="2" t="s">
        <v>180</v>
      </c>
      <c r="F8" s="2">
        <v>0.20521400000000001</v>
      </c>
      <c r="G8" s="2">
        <v>0.31830000000000003</v>
      </c>
    </row>
    <row r="9" spans="1:7">
      <c r="A9" s="2" t="s">
        <v>178</v>
      </c>
      <c r="B9" s="2">
        <v>2025</v>
      </c>
      <c r="C9" s="2" t="s">
        <v>182</v>
      </c>
      <c r="D9" s="2">
        <v>6.5310000000000007E-2</v>
      </c>
      <c r="E9" s="2" t="s">
        <v>180</v>
      </c>
      <c r="F9" s="2">
        <v>1.9380000000000001E-2</v>
      </c>
      <c r="G9" s="2">
        <v>3.37</v>
      </c>
    </row>
    <row r="10" spans="1:7">
      <c r="A10" s="2" t="s">
        <v>178</v>
      </c>
      <c r="B10" s="2">
        <v>2025</v>
      </c>
      <c r="C10" s="2" t="s">
        <v>183</v>
      </c>
      <c r="D10" s="2">
        <v>6.5310000000000007E-2</v>
      </c>
      <c r="E10" s="2" t="s">
        <v>180</v>
      </c>
      <c r="F10" s="2">
        <v>0.78718999999999995</v>
      </c>
      <c r="G10" s="2">
        <v>8.3000000000000004E-2</v>
      </c>
    </row>
    <row r="11" spans="1:7">
      <c r="A11" s="2" t="s">
        <v>178</v>
      </c>
      <c r="B11" s="2">
        <v>2050</v>
      </c>
      <c r="C11" s="2" t="s">
        <v>179</v>
      </c>
      <c r="D11" s="2">
        <v>6.5310000000000007E-2</v>
      </c>
      <c r="E11" s="2" t="s">
        <v>180</v>
      </c>
      <c r="F11" s="2">
        <v>1.9300000000000001E-2</v>
      </c>
      <c r="G11" s="2">
        <v>3.3839999999999999</v>
      </c>
    </row>
    <row r="12" spans="1:7">
      <c r="A12" s="2" t="s">
        <v>178</v>
      </c>
      <c r="B12" s="2">
        <v>2050</v>
      </c>
      <c r="C12" s="2" t="s">
        <v>181</v>
      </c>
      <c r="D12" s="2">
        <v>6.5310000000000007E-2</v>
      </c>
      <c r="E12" s="2" t="s">
        <v>180</v>
      </c>
      <c r="F12" s="2">
        <v>0.26854499999999998</v>
      </c>
      <c r="G12" s="2">
        <v>0.2432</v>
      </c>
    </row>
    <row r="13" spans="1:7">
      <c r="A13" s="2" t="s">
        <v>178</v>
      </c>
      <c r="B13" s="2">
        <v>2050</v>
      </c>
      <c r="C13" s="2" t="s">
        <v>182</v>
      </c>
      <c r="D13" s="2">
        <v>6.5310000000000007E-2</v>
      </c>
      <c r="E13" s="2" t="s">
        <v>180</v>
      </c>
      <c r="F13" s="2">
        <v>1.9380000000000001E-2</v>
      </c>
      <c r="G13" s="2">
        <v>3.37</v>
      </c>
    </row>
    <row r="14" spans="1:7">
      <c r="A14" s="2" t="s">
        <v>178</v>
      </c>
      <c r="B14" s="2">
        <v>2050</v>
      </c>
      <c r="C14" s="2" t="s">
        <v>183</v>
      </c>
      <c r="D14" s="2">
        <v>6.5310000000000007E-2</v>
      </c>
      <c r="E14" s="2" t="s">
        <v>180</v>
      </c>
      <c r="F14" s="2">
        <v>1.030125</v>
      </c>
      <c r="G14" s="2">
        <v>6.3399999999999998E-2</v>
      </c>
    </row>
    <row r="15" spans="1:7">
      <c r="A15" s="2" t="s">
        <v>178</v>
      </c>
      <c r="B15" s="2">
        <v>2075</v>
      </c>
      <c r="C15" s="2" t="s">
        <v>179</v>
      </c>
      <c r="D15" s="2">
        <v>6.5310000000000007E-2</v>
      </c>
      <c r="E15" s="2" t="s">
        <v>180</v>
      </c>
      <c r="F15" s="2">
        <v>2.2811000000000001E-2</v>
      </c>
      <c r="G15" s="2">
        <v>2.8631000000000002</v>
      </c>
    </row>
    <row r="16" spans="1:7">
      <c r="A16" s="2" t="s">
        <v>178</v>
      </c>
      <c r="B16" s="2">
        <v>2075</v>
      </c>
      <c r="C16" s="2" t="s">
        <v>181</v>
      </c>
      <c r="D16" s="2">
        <v>6.5310000000000007E-2</v>
      </c>
      <c r="E16" s="2" t="s">
        <v>180</v>
      </c>
      <c r="F16" s="2">
        <v>0.31739699999999998</v>
      </c>
      <c r="G16" s="2">
        <v>0.20580000000000001</v>
      </c>
    </row>
    <row r="17" spans="1:7">
      <c r="A17" s="2" t="s">
        <v>178</v>
      </c>
      <c r="B17" s="2">
        <v>2075</v>
      </c>
      <c r="C17" s="2" t="s">
        <v>182</v>
      </c>
      <c r="D17" s="2">
        <v>6.5310000000000007E-2</v>
      </c>
      <c r="E17" s="2" t="s">
        <v>180</v>
      </c>
      <c r="F17" s="2">
        <v>1.9380000000000001E-2</v>
      </c>
      <c r="G17" s="2">
        <v>3.37</v>
      </c>
    </row>
    <row r="18" spans="1:7">
      <c r="A18" s="2" t="s">
        <v>178</v>
      </c>
      <c r="B18" s="2">
        <v>2075</v>
      </c>
      <c r="C18" s="2" t="s">
        <v>183</v>
      </c>
      <c r="D18" s="2">
        <v>6.5310000000000007E-2</v>
      </c>
      <c r="E18" s="2" t="s">
        <v>180</v>
      </c>
      <c r="F18" s="2">
        <v>1.2175180000000001</v>
      </c>
      <c r="G18" s="2">
        <v>5.3600000000000002E-2</v>
      </c>
    </row>
    <row r="19" spans="1:7">
      <c r="A19" s="2" t="s">
        <v>178</v>
      </c>
      <c r="B19" s="2">
        <v>2100</v>
      </c>
      <c r="C19" s="2" t="s">
        <v>179</v>
      </c>
      <c r="D19" s="2">
        <v>6.5310000000000007E-2</v>
      </c>
      <c r="E19" s="2" t="s">
        <v>180</v>
      </c>
      <c r="F19" s="2">
        <v>2.4482E-2</v>
      </c>
      <c r="G19" s="2">
        <v>2.6677</v>
      </c>
    </row>
    <row r="20" spans="1:7">
      <c r="A20" s="2" t="s">
        <v>178</v>
      </c>
      <c r="B20" s="2">
        <v>2100</v>
      </c>
      <c r="C20" s="2" t="s">
        <v>181</v>
      </c>
      <c r="D20" s="2">
        <v>6.5310000000000007E-2</v>
      </c>
      <c r="E20" s="2" t="s">
        <v>180</v>
      </c>
      <c r="F20" s="2">
        <v>0.34065299999999998</v>
      </c>
      <c r="G20" s="2">
        <v>0.19170000000000001</v>
      </c>
    </row>
    <row r="21" spans="1:7">
      <c r="A21" s="2" t="s">
        <v>178</v>
      </c>
      <c r="B21" s="2">
        <v>2100</v>
      </c>
      <c r="C21" s="2" t="s">
        <v>182</v>
      </c>
      <c r="D21" s="2">
        <v>6.5310000000000007E-2</v>
      </c>
      <c r="E21" s="2" t="s">
        <v>180</v>
      </c>
      <c r="F21" s="2">
        <v>1.9380000000000001E-2</v>
      </c>
      <c r="G21" s="2">
        <v>3.37</v>
      </c>
    </row>
    <row r="22" spans="1:7">
      <c r="A22" s="2" t="s">
        <v>178</v>
      </c>
      <c r="B22" s="2">
        <v>2100</v>
      </c>
      <c r="C22" s="2" t="s">
        <v>183</v>
      </c>
      <c r="D22" s="2">
        <v>6.5310000000000007E-2</v>
      </c>
      <c r="E22" s="2" t="s">
        <v>180</v>
      </c>
      <c r="F22" s="2">
        <v>1.3067249999999999</v>
      </c>
      <c r="G22" s="2">
        <v>0.05</v>
      </c>
    </row>
    <row r="23" spans="1:7">
      <c r="A23" s="2" t="s">
        <v>184</v>
      </c>
      <c r="B23" s="2">
        <v>2025</v>
      </c>
      <c r="C23" s="2" t="s">
        <v>179</v>
      </c>
      <c r="D23" s="2">
        <v>38.71</v>
      </c>
      <c r="E23" s="2" t="s">
        <v>185</v>
      </c>
      <c r="F23" s="2">
        <v>7.374136</v>
      </c>
      <c r="G23" s="2">
        <v>5.2493999999999996</v>
      </c>
    </row>
    <row r="24" spans="1:7">
      <c r="A24" s="2" t="s">
        <v>184</v>
      </c>
      <c r="B24" s="2">
        <v>2025</v>
      </c>
      <c r="C24" s="2" t="s">
        <v>181</v>
      </c>
      <c r="D24" s="2">
        <v>38.71</v>
      </c>
      <c r="E24" s="2" t="s">
        <v>185</v>
      </c>
      <c r="F24" s="2">
        <v>102.607124</v>
      </c>
      <c r="G24" s="2">
        <v>0.37730000000000002</v>
      </c>
    </row>
    <row r="25" spans="1:7">
      <c r="A25" s="2" t="s">
        <v>184</v>
      </c>
      <c r="B25" s="2">
        <v>2025</v>
      </c>
      <c r="C25" s="2" t="s">
        <v>182</v>
      </c>
      <c r="D25" s="2">
        <v>38.71</v>
      </c>
      <c r="E25" s="2" t="s">
        <v>185</v>
      </c>
      <c r="F25" s="2">
        <v>64.516666999999998</v>
      </c>
      <c r="G25" s="2">
        <v>0.6</v>
      </c>
    </row>
    <row r="26" spans="1:7">
      <c r="A26" s="2" t="s">
        <v>184</v>
      </c>
      <c r="B26" s="2">
        <v>2050</v>
      </c>
      <c r="C26" s="2" t="s">
        <v>179</v>
      </c>
      <c r="D26" s="2">
        <v>38.71</v>
      </c>
      <c r="E26" s="2" t="s">
        <v>185</v>
      </c>
      <c r="F26" s="2">
        <v>9.6498699999999999</v>
      </c>
      <c r="G26" s="2">
        <v>4.0114999999999998</v>
      </c>
    </row>
    <row r="27" spans="1:7">
      <c r="A27" s="2" t="s">
        <v>184</v>
      </c>
      <c r="B27" s="2">
        <v>2050</v>
      </c>
      <c r="C27" s="2" t="s">
        <v>181</v>
      </c>
      <c r="D27" s="2">
        <v>38.71</v>
      </c>
      <c r="E27" s="2" t="s">
        <v>185</v>
      </c>
      <c r="F27" s="2">
        <v>134.27273099999999</v>
      </c>
      <c r="G27" s="2">
        <v>0.2883</v>
      </c>
    </row>
    <row r="28" spans="1:7">
      <c r="A28" s="2" t="s">
        <v>184</v>
      </c>
      <c r="B28" s="2">
        <v>2050</v>
      </c>
      <c r="C28" s="2" t="s">
        <v>182</v>
      </c>
      <c r="D28" s="2">
        <v>38.71</v>
      </c>
      <c r="E28" s="2" t="s">
        <v>185</v>
      </c>
      <c r="F28" s="2">
        <v>64.516666999999998</v>
      </c>
      <c r="G28" s="2">
        <v>0.6</v>
      </c>
    </row>
    <row r="29" spans="1:7">
      <c r="A29" s="2" t="s">
        <v>184</v>
      </c>
      <c r="B29" s="2">
        <v>2075</v>
      </c>
      <c r="C29" s="2" t="s">
        <v>179</v>
      </c>
      <c r="D29" s="2">
        <v>38.71</v>
      </c>
      <c r="E29" s="2" t="s">
        <v>185</v>
      </c>
      <c r="F29" s="2">
        <v>11.405305</v>
      </c>
      <c r="G29" s="2">
        <v>3.3940000000000001</v>
      </c>
    </row>
    <row r="30" spans="1:7">
      <c r="A30" s="2" t="s">
        <v>184</v>
      </c>
      <c r="B30" s="2">
        <v>2075</v>
      </c>
      <c r="C30" s="2" t="s">
        <v>181</v>
      </c>
      <c r="D30" s="2">
        <v>38.71</v>
      </c>
      <c r="E30" s="2" t="s">
        <v>185</v>
      </c>
      <c r="F30" s="2">
        <v>158.69866500000001</v>
      </c>
      <c r="G30" s="2">
        <v>0.24390000000000001</v>
      </c>
    </row>
    <row r="31" spans="1:7">
      <c r="A31" s="2" t="s">
        <v>184</v>
      </c>
      <c r="B31" s="2">
        <v>2075</v>
      </c>
      <c r="C31" s="2" t="s">
        <v>182</v>
      </c>
      <c r="D31" s="2">
        <v>38.71</v>
      </c>
      <c r="E31" s="2" t="s">
        <v>185</v>
      </c>
      <c r="F31" s="2">
        <v>64.516666999999998</v>
      </c>
      <c r="G31" s="2">
        <v>0.6</v>
      </c>
    </row>
    <row r="32" spans="1:7">
      <c r="A32" s="2" t="s">
        <v>184</v>
      </c>
      <c r="B32" s="2">
        <v>2100</v>
      </c>
      <c r="C32" s="2" t="s">
        <v>179</v>
      </c>
      <c r="D32" s="2">
        <v>38.71</v>
      </c>
      <c r="E32" s="2" t="s">
        <v>185</v>
      </c>
      <c r="F32" s="2">
        <v>12.240966</v>
      </c>
      <c r="G32" s="2">
        <v>3.1623000000000001</v>
      </c>
    </row>
    <row r="33" spans="1:7">
      <c r="A33" s="2" t="s">
        <v>184</v>
      </c>
      <c r="B33" s="2">
        <v>2100</v>
      </c>
      <c r="C33" s="2" t="s">
        <v>181</v>
      </c>
      <c r="D33" s="2">
        <v>38.71</v>
      </c>
      <c r="E33" s="2" t="s">
        <v>185</v>
      </c>
      <c r="F33" s="2">
        <v>170.32642899999999</v>
      </c>
      <c r="G33" s="2">
        <v>0.2273</v>
      </c>
    </row>
    <row r="34" spans="1:7">
      <c r="A34" s="2" t="s">
        <v>184</v>
      </c>
      <c r="B34" s="2">
        <v>2100</v>
      </c>
      <c r="C34" s="2" t="s">
        <v>182</v>
      </c>
      <c r="D34" s="2">
        <v>38.71</v>
      </c>
      <c r="E34" s="2" t="s">
        <v>185</v>
      </c>
      <c r="F34" s="2">
        <v>64.516666999999998</v>
      </c>
      <c r="G34" s="2">
        <v>0.6</v>
      </c>
    </row>
    <row r="35" spans="1:7">
      <c r="A35" s="2" t="s">
        <v>186</v>
      </c>
      <c r="B35" s="2">
        <v>2025</v>
      </c>
      <c r="C35" s="2" t="s">
        <v>179</v>
      </c>
      <c r="D35" s="2">
        <v>4.1041000000000001E-2</v>
      </c>
      <c r="E35" s="2" t="s">
        <v>187</v>
      </c>
      <c r="F35" s="2">
        <v>0.26546900000000001</v>
      </c>
      <c r="G35" s="2">
        <v>0.15459999999999999</v>
      </c>
    </row>
    <row r="36" spans="1:7">
      <c r="A36" s="2" t="s">
        <v>186</v>
      </c>
      <c r="B36" s="2">
        <v>2025</v>
      </c>
      <c r="C36" s="2" t="s">
        <v>181</v>
      </c>
      <c r="D36" s="2">
        <v>4.1041000000000001E-2</v>
      </c>
      <c r="E36" s="2" t="s">
        <v>187</v>
      </c>
      <c r="F36" s="2">
        <v>3.6938559999999998</v>
      </c>
      <c r="G36" s="2">
        <v>1.11E-2</v>
      </c>
    </row>
    <row r="37" spans="1:7">
      <c r="A37" s="2" t="s">
        <v>186</v>
      </c>
      <c r="B37" s="2">
        <v>2025</v>
      </c>
      <c r="C37" s="2" t="s">
        <v>182</v>
      </c>
      <c r="D37" s="2">
        <v>4.1041000000000001E-2</v>
      </c>
      <c r="E37" s="2" t="s">
        <v>187</v>
      </c>
      <c r="F37" s="2">
        <v>3.2119000000000002E-2</v>
      </c>
      <c r="G37" s="2">
        <v>1.2778</v>
      </c>
    </row>
    <row r="38" spans="1:7">
      <c r="A38" s="2" t="s">
        <v>186</v>
      </c>
      <c r="B38" s="2">
        <v>2050</v>
      </c>
      <c r="C38" s="2" t="s">
        <v>179</v>
      </c>
      <c r="D38" s="2">
        <v>4.1041000000000001E-2</v>
      </c>
      <c r="E38" s="2" t="s">
        <v>187</v>
      </c>
      <c r="F38" s="2">
        <v>0.34739500000000001</v>
      </c>
      <c r="G38" s="2">
        <v>0.1181</v>
      </c>
    </row>
    <row r="39" spans="1:7">
      <c r="A39" s="2" t="s">
        <v>186</v>
      </c>
      <c r="B39" s="2">
        <v>2050</v>
      </c>
      <c r="C39" s="2" t="s">
        <v>181</v>
      </c>
      <c r="D39" s="2">
        <v>4.1041000000000001E-2</v>
      </c>
      <c r="E39" s="2" t="s">
        <v>187</v>
      </c>
      <c r="F39" s="2">
        <v>4.8338179999999999</v>
      </c>
      <c r="G39" s="2">
        <v>8.5000000000000006E-3</v>
      </c>
    </row>
    <row r="40" spans="1:7">
      <c r="A40" s="2" t="s">
        <v>186</v>
      </c>
      <c r="B40" s="2">
        <v>2050</v>
      </c>
      <c r="C40" s="2" t="s">
        <v>182</v>
      </c>
      <c r="D40" s="2">
        <v>4.1041000000000001E-2</v>
      </c>
      <c r="E40" s="2" t="s">
        <v>187</v>
      </c>
      <c r="F40" s="2">
        <v>3.2119000000000002E-2</v>
      </c>
      <c r="G40" s="2">
        <v>1.2778</v>
      </c>
    </row>
    <row r="41" spans="1:7">
      <c r="A41" s="2" t="s">
        <v>186</v>
      </c>
      <c r="B41" s="2">
        <v>2075</v>
      </c>
      <c r="C41" s="2" t="s">
        <v>179</v>
      </c>
      <c r="D41" s="2">
        <v>4.1041000000000001E-2</v>
      </c>
      <c r="E41" s="2" t="s">
        <v>187</v>
      </c>
      <c r="F41" s="2">
        <v>0.41059099999999998</v>
      </c>
      <c r="G41" s="2">
        <v>0.1</v>
      </c>
    </row>
    <row r="42" spans="1:7">
      <c r="A42" s="2" t="s">
        <v>186</v>
      </c>
      <c r="B42" s="2">
        <v>2075</v>
      </c>
      <c r="C42" s="2" t="s">
        <v>181</v>
      </c>
      <c r="D42" s="2">
        <v>4.1041000000000001E-2</v>
      </c>
      <c r="E42" s="2" t="s">
        <v>187</v>
      </c>
      <c r="F42" s="2">
        <v>5.713152</v>
      </c>
      <c r="G42" s="2">
        <v>7.1999999999999998E-3</v>
      </c>
    </row>
    <row r="43" spans="1:7">
      <c r="A43" s="2" t="s">
        <v>186</v>
      </c>
      <c r="B43" s="2">
        <v>2075</v>
      </c>
      <c r="C43" s="2" t="s">
        <v>182</v>
      </c>
      <c r="D43" s="2">
        <v>4.1041000000000001E-2</v>
      </c>
      <c r="E43" s="2" t="s">
        <v>187</v>
      </c>
      <c r="F43" s="2">
        <v>3.2119000000000002E-2</v>
      </c>
      <c r="G43" s="2">
        <v>1.2778</v>
      </c>
    </row>
    <row r="44" spans="1:7">
      <c r="A44" s="2" t="s">
        <v>186</v>
      </c>
      <c r="B44" s="2">
        <v>2100</v>
      </c>
      <c r="C44" s="2" t="s">
        <v>179</v>
      </c>
      <c r="D44" s="2">
        <v>4.1041000000000001E-2</v>
      </c>
      <c r="E44" s="2" t="s">
        <v>187</v>
      </c>
      <c r="F44" s="2">
        <v>0.44067499999999998</v>
      </c>
      <c r="G44" s="2">
        <v>9.3100000000000002E-2</v>
      </c>
    </row>
    <row r="45" spans="1:7">
      <c r="A45" s="2" t="s">
        <v>186</v>
      </c>
      <c r="B45" s="2">
        <v>2100</v>
      </c>
      <c r="C45" s="2" t="s">
        <v>181</v>
      </c>
      <c r="D45" s="2">
        <v>4.1041000000000001E-2</v>
      </c>
      <c r="E45" s="2" t="s">
        <v>187</v>
      </c>
      <c r="F45" s="2">
        <v>6.1317510000000004</v>
      </c>
      <c r="G45" s="2">
        <v>6.7000000000000002E-3</v>
      </c>
    </row>
    <row r="46" spans="1:7">
      <c r="A46" s="2" t="s">
        <v>186</v>
      </c>
      <c r="B46" s="2">
        <v>2100</v>
      </c>
      <c r="C46" s="2" t="s">
        <v>182</v>
      </c>
      <c r="D46" s="2">
        <v>4.1041000000000001E-2</v>
      </c>
      <c r="E46" s="2" t="s">
        <v>187</v>
      </c>
      <c r="F46" s="2">
        <v>3.2119000000000002E-2</v>
      </c>
      <c r="G46" s="2">
        <v>1.2778</v>
      </c>
    </row>
    <row r="47" spans="1:7">
      <c r="A47" s="2" t="s">
        <v>66</v>
      </c>
      <c r="B47" s="2">
        <v>2025</v>
      </c>
      <c r="C47" s="2" t="s">
        <v>179</v>
      </c>
      <c r="D47" s="2">
        <v>1.0338999999999999E-2</v>
      </c>
      <c r="E47" s="2" t="s">
        <v>188</v>
      </c>
      <c r="F47" s="2">
        <v>2.3597E-2</v>
      </c>
      <c r="G47" s="2">
        <v>0.43809999999999999</v>
      </c>
    </row>
    <row r="48" spans="1:7">
      <c r="A48" s="2" t="s">
        <v>66</v>
      </c>
      <c r="B48" s="2">
        <v>2025</v>
      </c>
      <c r="C48" s="2" t="s">
        <v>181</v>
      </c>
      <c r="D48" s="2">
        <v>1.0338999999999999E-2</v>
      </c>
      <c r="E48" s="2" t="s">
        <v>188</v>
      </c>
      <c r="F48" s="2">
        <v>0.328343</v>
      </c>
      <c r="G48" s="2">
        <v>3.15E-2</v>
      </c>
    </row>
    <row r="49" spans="1:7">
      <c r="A49" s="2" t="s">
        <v>66</v>
      </c>
      <c r="B49" s="2">
        <v>2025</v>
      </c>
      <c r="C49" s="2" t="s">
        <v>182</v>
      </c>
      <c r="D49" s="2">
        <v>1.0338999999999999E-2</v>
      </c>
      <c r="E49" s="2" t="s">
        <v>188</v>
      </c>
      <c r="F49" s="2">
        <v>1.1488E-2</v>
      </c>
      <c r="G49" s="2">
        <v>0.9</v>
      </c>
    </row>
    <row r="50" spans="1:7">
      <c r="A50" s="2" t="s">
        <v>66</v>
      </c>
      <c r="B50" s="2">
        <v>2050</v>
      </c>
      <c r="C50" s="2" t="s">
        <v>179</v>
      </c>
      <c r="D50" s="2">
        <v>1.0338999999999999E-2</v>
      </c>
      <c r="E50" s="2" t="s">
        <v>188</v>
      </c>
      <c r="F50" s="2">
        <v>3.0880000000000001E-2</v>
      </c>
      <c r="G50" s="2">
        <v>0.33479999999999999</v>
      </c>
    </row>
    <row r="51" spans="1:7">
      <c r="A51" s="2" t="s">
        <v>66</v>
      </c>
      <c r="B51" s="2">
        <v>2050</v>
      </c>
      <c r="C51" s="2" t="s">
        <v>181</v>
      </c>
      <c r="D51" s="2">
        <v>1.0338999999999999E-2</v>
      </c>
      <c r="E51" s="2" t="s">
        <v>188</v>
      </c>
      <c r="F51" s="2">
        <v>0.42967300000000003</v>
      </c>
      <c r="G51" s="2">
        <v>2.41E-2</v>
      </c>
    </row>
    <row r="52" spans="1:7">
      <c r="A52" s="2" t="s">
        <v>66</v>
      </c>
      <c r="B52" s="2">
        <v>2050</v>
      </c>
      <c r="C52" s="2" t="s">
        <v>182</v>
      </c>
      <c r="D52" s="2">
        <v>1.0338999999999999E-2</v>
      </c>
      <c r="E52" s="2" t="s">
        <v>188</v>
      </c>
      <c r="F52" s="2">
        <v>1.1488E-2</v>
      </c>
      <c r="G52" s="2">
        <v>0.9</v>
      </c>
    </row>
    <row r="53" spans="1:7">
      <c r="A53" s="2" t="s">
        <v>66</v>
      </c>
      <c r="B53" s="2">
        <v>2075</v>
      </c>
      <c r="C53" s="2" t="s">
        <v>179</v>
      </c>
      <c r="D53" s="2">
        <v>1.0338999999999999E-2</v>
      </c>
      <c r="E53" s="2" t="s">
        <v>188</v>
      </c>
      <c r="F53" s="2">
        <v>3.6497000000000002E-2</v>
      </c>
      <c r="G53" s="2">
        <v>0.2833</v>
      </c>
    </row>
    <row r="54" spans="1:7">
      <c r="A54" s="2" t="s">
        <v>66</v>
      </c>
      <c r="B54" s="2">
        <v>2075</v>
      </c>
      <c r="C54" s="2" t="s">
        <v>181</v>
      </c>
      <c r="D54" s="2">
        <v>1.0338999999999999E-2</v>
      </c>
      <c r="E54" s="2" t="s">
        <v>188</v>
      </c>
      <c r="F54" s="2">
        <v>0.50783599999999995</v>
      </c>
      <c r="G54" s="2">
        <v>2.0400000000000001E-2</v>
      </c>
    </row>
    <row r="55" spans="1:7">
      <c r="A55" s="2" t="s">
        <v>66</v>
      </c>
      <c r="B55" s="2">
        <v>2075</v>
      </c>
      <c r="C55" s="2" t="s">
        <v>182</v>
      </c>
      <c r="D55" s="2">
        <v>1.0338999999999999E-2</v>
      </c>
      <c r="E55" s="2" t="s">
        <v>188</v>
      </c>
      <c r="F55" s="2">
        <v>1.1488E-2</v>
      </c>
      <c r="G55" s="2">
        <v>0.9</v>
      </c>
    </row>
    <row r="56" spans="1:7">
      <c r="A56" s="2" t="s">
        <v>66</v>
      </c>
      <c r="B56" s="2">
        <v>2100</v>
      </c>
      <c r="C56" s="2" t="s">
        <v>179</v>
      </c>
      <c r="D56" s="2">
        <v>1.0338999999999999E-2</v>
      </c>
      <c r="E56" s="2" t="s">
        <v>188</v>
      </c>
      <c r="F56" s="2">
        <v>3.9170999999999997E-2</v>
      </c>
      <c r="G56" s="2">
        <v>0.26390000000000002</v>
      </c>
    </row>
    <row r="57" spans="1:7">
      <c r="A57" s="2" t="s">
        <v>66</v>
      </c>
      <c r="B57" s="2">
        <v>2100</v>
      </c>
      <c r="C57" s="2" t="s">
        <v>181</v>
      </c>
      <c r="D57" s="2">
        <v>1.0338999999999999E-2</v>
      </c>
      <c r="E57" s="2" t="s">
        <v>188</v>
      </c>
      <c r="F57" s="2">
        <v>0.545045</v>
      </c>
      <c r="G57" s="2">
        <v>1.9E-2</v>
      </c>
    </row>
    <row r="58" spans="1:7">
      <c r="A58" s="2" t="s">
        <v>66</v>
      </c>
      <c r="B58" s="2">
        <v>2100</v>
      </c>
      <c r="C58" s="2" t="s">
        <v>182</v>
      </c>
      <c r="D58" s="2">
        <v>1.0338999999999999E-2</v>
      </c>
      <c r="E58" s="2" t="s">
        <v>188</v>
      </c>
      <c r="F58" s="2">
        <v>1.1488E-2</v>
      </c>
      <c r="G58" s="2">
        <v>0.9</v>
      </c>
    </row>
    <row r="59" spans="1:7">
      <c r="A59" s="2" t="s">
        <v>189</v>
      </c>
      <c r="B59" s="2">
        <v>2025</v>
      </c>
      <c r="C59" s="2" t="s">
        <v>179</v>
      </c>
      <c r="D59" s="2">
        <v>0.06</v>
      </c>
      <c r="E59" s="2" t="s">
        <v>190</v>
      </c>
      <c r="F59" s="2">
        <v>0.121998</v>
      </c>
      <c r="G59" s="2">
        <v>0.49180000000000001</v>
      </c>
    </row>
    <row r="60" spans="1:7">
      <c r="A60" s="2" t="s">
        <v>189</v>
      </c>
      <c r="B60" s="2">
        <v>2025</v>
      </c>
      <c r="C60" s="2" t="s">
        <v>181</v>
      </c>
      <c r="D60" s="2">
        <v>0.06</v>
      </c>
      <c r="E60" s="2" t="s">
        <v>190</v>
      </c>
      <c r="F60" s="2">
        <v>1.697532</v>
      </c>
      <c r="G60" s="2">
        <v>3.5299999999999998E-2</v>
      </c>
    </row>
    <row r="61" spans="1:7">
      <c r="A61" s="2" t="s">
        <v>189</v>
      </c>
      <c r="B61" s="2">
        <v>2025</v>
      </c>
      <c r="C61" s="2" t="s">
        <v>182</v>
      </c>
      <c r="D61" s="2">
        <v>0.06</v>
      </c>
      <c r="E61" s="2" t="s">
        <v>190</v>
      </c>
      <c r="F61" s="2">
        <v>5.1700000000000003E-2</v>
      </c>
      <c r="G61" s="2">
        <v>1.1605000000000001</v>
      </c>
    </row>
    <row r="62" spans="1:7">
      <c r="A62" s="2" t="s">
        <v>189</v>
      </c>
      <c r="B62" s="2">
        <v>2050</v>
      </c>
      <c r="C62" s="2" t="s">
        <v>179</v>
      </c>
      <c r="D62" s="2">
        <v>0.06</v>
      </c>
      <c r="E62" s="2" t="s">
        <v>190</v>
      </c>
      <c r="F62" s="2">
        <v>0.15964700000000001</v>
      </c>
      <c r="G62" s="2">
        <v>0.37580000000000002</v>
      </c>
    </row>
    <row r="63" spans="1:7">
      <c r="A63" s="2" t="s">
        <v>189</v>
      </c>
      <c r="B63" s="2">
        <v>2050</v>
      </c>
      <c r="C63" s="2" t="s">
        <v>181</v>
      </c>
      <c r="D63" s="2">
        <v>0.06</v>
      </c>
      <c r="E63" s="2" t="s">
        <v>190</v>
      </c>
      <c r="F63" s="2">
        <v>2.2214079999999998</v>
      </c>
      <c r="G63" s="2">
        <v>2.7E-2</v>
      </c>
    </row>
    <row r="64" spans="1:7">
      <c r="A64" s="2" t="s">
        <v>189</v>
      </c>
      <c r="B64" s="2">
        <v>2050</v>
      </c>
      <c r="C64" s="2" t="s">
        <v>182</v>
      </c>
      <c r="D64" s="2">
        <v>0.06</v>
      </c>
      <c r="E64" s="2" t="s">
        <v>190</v>
      </c>
      <c r="F64" s="2">
        <v>5.1700000000000003E-2</v>
      </c>
      <c r="G64" s="2">
        <v>1.1605000000000001</v>
      </c>
    </row>
    <row r="65" spans="1:7">
      <c r="A65" s="2" t="s">
        <v>189</v>
      </c>
      <c r="B65" s="2">
        <v>2075</v>
      </c>
      <c r="C65" s="2" t="s">
        <v>179</v>
      </c>
      <c r="D65" s="2">
        <v>0.06</v>
      </c>
      <c r="E65" s="2" t="s">
        <v>190</v>
      </c>
      <c r="F65" s="2">
        <v>0.188689</v>
      </c>
      <c r="G65" s="2">
        <v>0.318</v>
      </c>
    </row>
    <row r="66" spans="1:7">
      <c r="A66" s="2" t="s">
        <v>189</v>
      </c>
      <c r="B66" s="2">
        <v>2075</v>
      </c>
      <c r="C66" s="2" t="s">
        <v>181</v>
      </c>
      <c r="D66" s="2">
        <v>0.06</v>
      </c>
      <c r="E66" s="2" t="s">
        <v>190</v>
      </c>
      <c r="F66" s="2">
        <v>2.6255109999999999</v>
      </c>
      <c r="G66" s="2">
        <v>2.29E-2</v>
      </c>
    </row>
    <row r="67" spans="1:7">
      <c r="A67" s="2" t="s">
        <v>189</v>
      </c>
      <c r="B67" s="2">
        <v>2075</v>
      </c>
      <c r="C67" s="2" t="s">
        <v>182</v>
      </c>
      <c r="D67" s="2">
        <v>0.06</v>
      </c>
      <c r="E67" s="2" t="s">
        <v>190</v>
      </c>
      <c r="F67" s="2">
        <v>5.1700000000000003E-2</v>
      </c>
      <c r="G67" s="2">
        <v>1.1605000000000001</v>
      </c>
    </row>
    <row r="68" spans="1:7">
      <c r="A68" s="2" t="s">
        <v>189</v>
      </c>
      <c r="B68" s="2">
        <v>2100</v>
      </c>
      <c r="C68" s="2" t="s">
        <v>179</v>
      </c>
      <c r="D68" s="2">
        <v>0.06</v>
      </c>
      <c r="E68" s="2" t="s">
        <v>190</v>
      </c>
      <c r="F68" s="2">
        <v>0.202515</v>
      </c>
      <c r="G68" s="2">
        <v>0.29630000000000001</v>
      </c>
    </row>
    <row r="69" spans="1:7">
      <c r="A69" s="2" t="s">
        <v>189</v>
      </c>
      <c r="B69" s="2">
        <v>2100</v>
      </c>
      <c r="C69" s="2" t="s">
        <v>181</v>
      </c>
      <c r="D69" s="2">
        <v>0.06</v>
      </c>
      <c r="E69" s="2" t="s">
        <v>190</v>
      </c>
      <c r="F69" s="2">
        <v>2.8178800000000002</v>
      </c>
      <c r="G69" s="2">
        <v>2.1299999999999999E-2</v>
      </c>
    </row>
    <row r="70" spans="1:7">
      <c r="A70" s="2" t="s">
        <v>189</v>
      </c>
      <c r="B70" s="2">
        <v>2100</v>
      </c>
      <c r="C70" s="2" t="s">
        <v>182</v>
      </c>
      <c r="D70" s="2">
        <v>0.06</v>
      </c>
      <c r="E70" s="2" t="s">
        <v>190</v>
      </c>
      <c r="F70" s="2">
        <v>5.1700000000000003E-2</v>
      </c>
      <c r="G70" s="2">
        <v>1.1605000000000001</v>
      </c>
    </row>
    <row r="72" spans="1:7">
      <c r="A72" s="97" t="s">
        <v>191</v>
      </c>
    </row>
    <row r="73" spans="1:7">
      <c r="A73" s="98" t="s">
        <v>173</v>
      </c>
      <c r="B73" s="98" t="s">
        <v>75</v>
      </c>
      <c r="C73" s="98" t="s">
        <v>192</v>
      </c>
      <c r="D73" s="98" t="s">
        <v>193</v>
      </c>
      <c r="E73" s="98" t="s">
        <v>194</v>
      </c>
      <c r="F73" s="98" t="s">
        <v>195</v>
      </c>
    </row>
    <row r="74" spans="1:7">
      <c r="A74" s="2" t="s">
        <v>178</v>
      </c>
      <c r="B74" s="2">
        <v>2025</v>
      </c>
      <c r="C74" s="2">
        <v>1.7298</v>
      </c>
      <c r="D74" s="2">
        <v>8.0199999999999994E-2</v>
      </c>
      <c r="E74" s="2">
        <v>4.5170000000000003</v>
      </c>
      <c r="F74" s="2">
        <v>0.5</v>
      </c>
    </row>
    <row r="75" spans="1:7">
      <c r="A75" s="2" t="s">
        <v>178</v>
      </c>
      <c r="B75" s="2">
        <v>2050</v>
      </c>
      <c r="C75" s="2">
        <v>0.25559999999999999</v>
      </c>
      <c r="D75" s="2">
        <v>6.1600000000000002E-2</v>
      </c>
      <c r="E75" s="2">
        <v>3.4853000000000001</v>
      </c>
      <c r="F75" s="2">
        <v>0.50549999999999995</v>
      </c>
    </row>
    <row r="76" spans="1:7">
      <c r="A76" s="2" t="s">
        <v>178</v>
      </c>
      <c r="B76" s="2">
        <v>2075</v>
      </c>
      <c r="C76" s="2">
        <v>2.6983999999999999</v>
      </c>
      <c r="D76" s="2">
        <v>5.1999999999999998E-2</v>
      </c>
      <c r="E76" s="2">
        <v>3.4304000000000001</v>
      </c>
      <c r="F76" s="2">
        <v>0.495</v>
      </c>
    </row>
    <row r="77" spans="1:7">
      <c r="A77" s="2" t="s">
        <v>178</v>
      </c>
      <c r="B77" s="2">
        <v>2100</v>
      </c>
      <c r="C77" s="2">
        <v>0.20219999999999999</v>
      </c>
      <c r="D77" s="2">
        <v>4.8500000000000001E-2</v>
      </c>
      <c r="E77" s="2">
        <v>3.4312999999999998</v>
      </c>
      <c r="F77" s="2">
        <v>0.50049999999999994</v>
      </c>
    </row>
    <row r="78" spans="1:7">
      <c r="A78" s="2" t="s">
        <v>184</v>
      </c>
      <c r="B78" s="2">
        <v>2025</v>
      </c>
      <c r="C78" s="2">
        <v>0.60299999999999998</v>
      </c>
      <c r="D78" s="2">
        <v>0.29449999999999998</v>
      </c>
      <c r="E78" s="2">
        <v>7.2388000000000003</v>
      </c>
      <c r="F78" s="2">
        <v>0.64349999999999996</v>
      </c>
    </row>
    <row r="79" spans="1:7">
      <c r="A79" s="2" t="s">
        <v>184</v>
      </c>
      <c r="B79" s="2">
        <v>2050</v>
      </c>
      <c r="C79" s="2">
        <v>0.61509999999999998</v>
      </c>
      <c r="D79" s="2">
        <v>0.2248</v>
      </c>
      <c r="E79" s="2">
        <v>5.5084</v>
      </c>
      <c r="F79" s="2">
        <v>0.64700000000000002</v>
      </c>
    </row>
    <row r="80" spans="1:7">
      <c r="A80" s="2" t="s">
        <v>184</v>
      </c>
      <c r="B80" s="2">
        <v>2075</v>
      </c>
      <c r="C80" s="2">
        <v>0.59379999999999999</v>
      </c>
      <c r="D80" s="2">
        <v>0.192</v>
      </c>
      <c r="E80" s="2">
        <v>4.6452999999999998</v>
      </c>
      <c r="F80" s="2">
        <v>0.65049999999999997</v>
      </c>
    </row>
    <row r="81" spans="1:6">
      <c r="A81" s="2" t="s">
        <v>184</v>
      </c>
      <c r="B81" s="2">
        <v>2100</v>
      </c>
      <c r="C81" s="2">
        <v>0.59899999999999998</v>
      </c>
      <c r="D81" s="2">
        <v>0.1789</v>
      </c>
      <c r="E81" s="2">
        <v>4.3703000000000003</v>
      </c>
      <c r="F81" s="2">
        <v>0.64600000000000002</v>
      </c>
    </row>
    <row r="82" spans="1:6">
      <c r="A82" s="2" t="s">
        <v>186</v>
      </c>
      <c r="B82" s="2">
        <v>2025</v>
      </c>
      <c r="C82" s="2">
        <v>0.1459</v>
      </c>
      <c r="D82" s="2">
        <v>8.6E-3</v>
      </c>
      <c r="E82" s="2">
        <v>1.4117999999999999</v>
      </c>
      <c r="F82" s="2">
        <v>0.72699999999999998</v>
      </c>
    </row>
    <row r="83" spans="1:6">
      <c r="A83" s="2" t="s">
        <v>186</v>
      </c>
      <c r="B83" s="2">
        <v>2050</v>
      </c>
      <c r="C83" s="2">
        <v>0.1087</v>
      </c>
      <c r="D83" s="2">
        <v>6.7000000000000002E-3</v>
      </c>
      <c r="E83" s="2">
        <v>1.4007000000000001</v>
      </c>
      <c r="F83" s="2">
        <v>0.72850000000000004</v>
      </c>
    </row>
    <row r="84" spans="1:6">
      <c r="A84" s="2" t="s">
        <v>186</v>
      </c>
      <c r="B84" s="2">
        <v>2075</v>
      </c>
      <c r="C84" s="2">
        <v>9.2799999999999994E-2</v>
      </c>
      <c r="D84" s="2">
        <v>5.4999999999999997E-3</v>
      </c>
      <c r="E84" s="2">
        <v>1.3912</v>
      </c>
      <c r="F84" s="2">
        <v>0.72950000000000004</v>
      </c>
    </row>
    <row r="85" spans="1:6">
      <c r="A85" s="2" t="s">
        <v>186</v>
      </c>
      <c r="B85" s="2">
        <v>2100</v>
      </c>
      <c r="C85" s="2">
        <v>8.6400000000000005E-2</v>
      </c>
      <c r="D85" s="2">
        <v>5.1999999999999998E-3</v>
      </c>
      <c r="E85" s="2">
        <v>1.4096</v>
      </c>
      <c r="F85" s="2">
        <v>0.71550000000000002</v>
      </c>
    </row>
    <row r="86" spans="1:6">
      <c r="A86" s="2" t="s">
        <v>66</v>
      </c>
      <c r="B86" s="2">
        <v>2025</v>
      </c>
      <c r="C86" s="2">
        <v>0.36370000000000002</v>
      </c>
      <c r="D86" s="2">
        <v>2.0400000000000001E-2</v>
      </c>
      <c r="E86" s="2">
        <v>0.93540000000000001</v>
      </c>
      <c r="F86" s="2">
        <v>0.97450000000000003</v>
      </c>
    </row>
    <row r="87" spans="1:6">
      <c r="A87" s="2" t="s">
        <v>66</v>
      </c>
      <c r="B87" s="2">
        <v>2050</v>
      </c>
      <c r="C87" s="2">
        <v>0.27700000000000002</v>
      </c>
      <c r="D87" s="2">
        <v>1.55E-2</v>
      </c>
      <c r="E87" s="2">
        <v>0.94630000000000003</v>
      </c>
      <c r="F87" s="2">
        <v>0.97050000000000003</v>
      </c>
    </row>
    <row r="88" spans="1:6">
      <c r="A88" s="2" t="s">
        <v>66</v>
      </c>
      <c r="B88" s="2">
        <v>2075</v>
      </c>
      <c r="C88" s="2">
        <v>0.22969999999999999</v>
      </c>
      <c r="D88" s="2">
        <v>1.2999999999999999E-2</v>
      </c>
      <c r="E88" s="2">
        <v>0.92510000000000003</v>
      </c>
      <c r="F88" s="2">
        <v>0.97750000000000004</v>
      </c>
    </row>
    <row r="89" spans="1:6">
      <c r="A89" s="2" t="s">
        <v>66</v>
      </c>
      <c r="B89" s="2">
        <v>2100</v>
      </c>
      <c r="C89" s="2">
        <v>0.2167</v>
      </c>
      <c r="D89" s="2">
        <v>1.24E-2</v>
      </c>
      <c r="E89" s="2">
        <v>0.92759999999999998</v>
      </c>
      <c r="F89" s="2">
        <v>0.97499999999999998</v>
      </c>
    </row>
    <row r="90" spans="1:6">
      <c r="A90" s="2" t="s">
        <v>189</v>
      </c>
      <c r="B90" s="2">
        <v>2025</v>
      </c>
      <c r="C90" s="2">
        <v>0.49180000000000001</v>
      </c>
      <c r="D90" s="2">
        <v>3.5299999999999998E-2</v>
      </c>
      <c r="E90" s="2">
        <v>1.1605000000000001</v>
      </c>
      <c r="F90" s="2">
        <v>0.67400000000000004</v>
      </c>
    </row>
    <row r="91" spans="1:6">
      <c r="A91" s="2" t="s">
        <v>189</v>
      </c>
      <c r="B91" s="2">
        <v>2050</v>
      </c>
      <c r="C91" s="2">
        <v>0.37580000000000002</v>
      </c>
      <c r="D91" s="2">
        <v>2.7E-2</v>
      </c>
      <c r="E91" s="2">
        <v>1.1605000000000001</v>
      </c>
      <c r="F91" s="2">
        <v>0.64500000000000002</v>
      </c>
    </row>
    <row r="92" spans="1:6">
      <c r="A92" s="2" t="s">
        <v>189</v>
      </c>
      <c r="B92" s="2">
        <v>2075</v>
      </c>
      <c r="C92" s="2">
        <v>0.318</v>
      </c>
      <c r="D92" s="2">
        <v>2.29E-2</v>
      </c>
      <c r="E92" s="2">
        <v>1.1605000000000001</v>
      </c>
      <c r="F92" s="2">
        <v>0.65600000000000003</v>
      </c>
    </row>
    <row r="93" spans="1:6">
      <c r="A93" s="2" t="s">
        <v>189</v>
      </c>
      <c r="B93" s="2">
        <v>2100</v>
      </c>
      <c r="C93" s="2">
        <v>0.29630000000000001</v>
      </c>
      <c r="D93" s="2">
        <v>2.1299999999999999E-2</v>
      </c>
      <c r="E93" s="2">
        <v>1.1605000000000001</v>
      </c>
      <c r="F93" s="2">
        <v>0.66349999999999998</v>
      </c>
    </row>
    <row r="95" spans="1:6">
      <c r="A95" s="97" t="s">
        <v>196</v>
      </c>
    </row>
    <row r="96" spans="1:6">
      <c r="A96" s="98" t="s">
        <v>173</v>
      </c>
      <c r="B96" s="98" t="s">
        <v>75</v>
      </c>
      <c r="C96" s="98" t="s">
        <v>179</v>
      </c>
      <c r="D96" s="98" t="s">
        <v>181</v>
      </c>
      <c r="E96" s="98" t="s">
        <v>182</v>
      </c>
      <c r="F96" s="98" t="s">
        <v>183</v>
      </c>
    </row>
    <row r="97" spans="1:6">
      <c r="A97" s="2" t="s">
        <v>178</v>
      </c>
      <c r="B97" s="2">
        <v>2025</v>
      </c>
      <c r="C97" s="2">
        <v>0</v>
      </c>
      <c r="D97" s="2">
        <v>1</v>
      </c>
      <c r="E97" s="2">
        <v>0</v>
      </c>
      <c r="F97" s="2">
        <v>1</v>
      </c>
    </row>
    <row r="98" spans="1:6">
      <c r="A98" s="2" t="s">
        <v>178</v>
      </c>
      <c r="B98" s="2">
        <v>2050</v>
      </c>
      <c r="C98" s="2">
        <v>0</v>
      </c>
      <c r="D98" s="2">
        <v>1</v>
      </c>
      <c r="E98" s="2">
        <v>0</v>
      </c>
      <c r="F98" s="2">
        <v>1</v>
      </c>
    </row>
    <row r="99" spans="1:6">
      <c r="A99" s="2" t="s">
        <v>178</v>
      </c>
      <c r="B99" s="2">
        <v>2075</v>
      </c>
      <c r="C99" s="2">
        <v>0</v>
      </c>
      <c r="D99" s="2">
        <v>1</v>
      </c>
      <c r="E99" s="2">
        <v>0</v>
      </c>
      <c r="F99" s="2">
        <v>1</v>
      </c>
    </row>
    <row r="100" spans="1:6">
      <c r="A100" s="2" t="s">
        <v>178</v>
      </c>
      <c r="B100" s="2">
        <v>2100</v>
      </c>
      <c r="C100" s="2">
        <v>0</v>
      </c>
      <c r="D100" s="2">
        <v>1</v>
      </c>
      <c r="E100" s="2">
        <v>0</v>
      </c>
      <c r="F100" s="2">
        <v>1</v>
      </c>
    </row>
    <row r="101" spans="1:6">
      <c r="A101" s="2" t="s">
        <v>184</v>
      </c>
      <c r="B101" s="2">
        <v>2025</v>
      </c>
      <c r="C101" s="2">
        <v>0</v>
      </c>
      <c r="D101" s="2">
        <v>1</v>
      </c>
      <c r="E101" s="2">
        <v>0.94950000000000001</v>
      </c>
      <c r="F101" s="2" t="s">
        <v>197</v>
      </c>
    </row>
    <row r="102" spans="1:6">
      <c r="A102" s="2" t="s">
        <v>184</v>
      </c>
      <c r="B102" s="2">
        <v>2050</v>
      </c>
      <c r="C102" s="2">
        <v>0</v>
      </c>
      <c r="D102" s="2">
        <v>1</v>
      </c>
      <c r="E102" s="2">
        <v>0.94750000000000001</v>
      </c>
      <c r="F102" s="2" t="s">
        <v>197</v>
      </c>
    </row>
    <row r="103" spans="1:6">
      <c r="A103" s="2" t="s">
        <v>184</v>
      </c>
      <c r="B103" s="2">
        <v>2075</v>
      </c>
      <c r="C103" s="2">
        <v>0</v>
      </c>
      <c r="D103" s="2">
        <v>1</v>
      </c>
      <c r="E103" s="2">
        <v>0.9395</v>
      </c>
      <c r="F103" s="2" t="s">
        <v>197</v>
      </c>
    </row>
    <row r="104" spans="1:6">
      <c r="A104" s="2" t="s">
        <v>184</v>
      </c>
      <c r="B104" s="2">
        <v>2100</v>
      </c>
      <c r="C104" s="2">
        <v>0</v>
      </c>
      <c r="D104" s="2">
        <v>1</v>
      </c>
      <c r="E104" s="2">
        <v>0.95250000000000001</v>
      </c>
      <c r="F104" s="2" t="s">
        <v>197</v>
      </c>
    </row>
    <row r="105" spans="1:6">
      <c r="A105" s="2" t="s">
        <v>186</v>
      </c>
      <c r="B105" s="2">
        <v>2025</v>
      </c>
      <c r="C105" s="2">
        <v>1</v>
      </c>
      <c r="D105" s="2">
        <v>1</v>
      </c>
      <c r="E105" s="2">
        <v>0.17599999999999999</v>
      </c>
      <c r="F105" s="2" t="s">
        <v>197</v>
      </c>
    </row>
    <row r="106" spans="1:6">
      <c r="A106" s="2" t="s">
        <v>186</v>
      </c>
      <c r="B106" s="2">
        <v>2050</v>
      </c>
      <c r="C106" s="2">
        <v>1</v>
      </c>
      <c r="D106" s="2">
        <v>1</v>
      </c>
      <c r="E106" s="2">
        <v>0.16900000000000001</v>
      </c>
      <c r="F106" s="2" t="s">
        <v>197</v>
      </c>
    </row>
    <row r="107" spans="1:6">
      <c r="A107" s="2" t="s">
        <v>186</v>
      </c>
      <c r="B107" s="2">
        <v>2075</v>
      </c>
      <c r="C107" s="2">
        <v>1</v>
      </c>
      <c r="D107" s="2">
        <v>1</v>
      </c>
      <c r="E107" s="2">
        <v>0.17699999999999999</v>
      </c>
      <c r="F107" s="2" t="s">
        <v>197</v>
      </c>
    </row>
    <row r="108" spans="1:6">
      <c r="A108" s="2" t="s">
        <v>186</v>
      </c>
      <c r="B108" s="2">
        <v>2100</v>
      </c>
      <c r="C108" s="2">
        <v>1</v>
      </c>
      <c r="D108" s="2">
        <v>1</v>
      </c>
      <c r="E108" s="2">
        <v>0.1535</v>
      </c>
      <c r="F108" s="2" t="s">
        <v>197</v>
      </c>
    </row>
    <row r="109" spans="1:6">
      <c r="A109" s="2" t="s">
        <v>66</v>
      </c>
      <c r="B109" s="2">
        <v>2025</v>
      </c>
      <c r="C109" s="2">
        <v>1</v>
      </c>
      <c r="D109" s="2">
        <v>1</v>
      </c>
      <c r="E109" s="2">
        <v>0.93100000000000005</v>
      </c>
      <c r="F109" s="2" t="s">
        <v>197</v>
      </c>
    </row>
    <row r="110" spans="1:6">
      <c r="A110" s="2" t="s">
        <v>66</v>
      </c>
      <c r="B110" s="2">
        <v>2050</v>
      </c>
      <c r="C110" s="2">
        <v>1</v>
      </c>
      <c r="D110" s="2">
        <v>1</v>
      </c>
      <c r="E110" s="2">
        <v>0.92300000000000004</v>
      </c>
      <c r="F110" s="2" t="s">
        <v>197</v>
      </c>
    </row>
    <row r="111" spans="1:6">
      <c r="A111" s="2" t="s">
        <v>66</v>
      </c>
      <c r="B111" s="2">
        <v>2075</v>
      </c>
      <c r="C111" s="2">
        <v>1</v>
      </c>
      <c r="D111" s="2">
        <v>1</v>
      </c>
      <c r="E111" s="2">
        <v>0.92600000000000005</v>
      </c>
      <c r="F111" s="2" t="s">
        <v>197</v>
      </c>
    </row>
    <row r="112" spans="1:6">
      <c r="A112" s="2" t="s">
        <v>66</v>
      </c>
      <c r="B112" s="2">
        <v>2100</v>
      </c>
      <c r="C112" s="2">
        <v>1</v>
      </c>
      <c r="D112" s="2">
        <v>1</v>
      </c>
      <c r="E112" s="2">
        <v>0.92800000000000005</v>
      </c>
      <c r="F112" s="2" t="s">
        <v>197</v>
      </c>
    </row>
    <row r="113" spans="1:6">
      <c r="A113" s="2" t="s">
        <v>189</v>
      </c>
      <c r="B113" s="2">
        <v>2025</v>
      </c>
      <c r="C113" s="2">
        <v>1</v>
      </c>
      <c r="D113" s="2">
        <v>1</v>
      </c>
      <c r="E113" s="2">
        <v>0</v>
      </c>
      <c r="F113" s="2" t="s">
        <v>197</v>
      </c>
    </row>
    <row r="114" spans="1:6">
      <c r="A114" s="2" t="s">
        <v>189</v>
      </c>
      <c r="B114" s="2">
        <v>2050</v>
      </c>
      <c r="C114" s="2">
        <v>1</v>
      </c>
      <c r="D114" s="2">
        <v>1</v>
      </c>
      <c r="E114" s="2">
        <v>0</v>
      </c>
      <c r="F114" s="2" t="s">
        <v>197</v>
      </c>
    </row>
    <row r="115" spans="1:6">
      <c r="A115" s="2" t="s">
        <v>189</v>
      </c>
      <c r="B115" s="2">
        <v>2075</v>
      </c>
      <c r="C115" s="2">
        <v>1</v>
      </c>
      <c r="D115" s="2">
        <v>1</v>
      </c>
      <c r="E115" s="2">
        <v>0</v>
      </c>
      <c r="F115" s="2" t="s">
        <v>197</v>
      </c>
    </row>
    <row r="116" spans="1:6">
      <c r="A116" s="2" t="s">
        <v>189</v>
      </c>
      <c r="B116" s="2">
        <v>2100</v>
      </c>
      <c r="C116" s="2">
        <v>1</v>
      </c>
      <c r="D116" s="2">
        <v>1</v>
      </c>
      <c r="E116" s="2">
        <v>0</v>
      </c>
      <c r="F116" s="2" t="s">
        <v>197</v>
      </c>
    </row>
    <row r="118" spans="1:6">
      <c r="A118" s="10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9"/>
  <sheetViews>
    <sheetView tabSelected="1" zoomScaleNormal="100" workbookViewId="0">
      <selection activeCell="D25" sqref="D25"/>
    </sheetView>
  </sheetViews>
  <sheetFormatPr defaultColWidth="8.453125" defaultRowHeight="17"/>
  <cols>
    <col min="1" max="1" width="14" style="1" customWidth="1"/>
    <col min="2" max="2" width="36" style="1" customWidth="1"/>
    <col min="3" max="10" width="11" style="1" customWidth="1"/>
    <col min="11" max="11" width="3" style="1" customWidth="1"/>
    <col min="12" max="19" width="9" style="1" customWidth="1"/>
    <col min="20" max="20" width="22" style="1" customWidth="1"/>
  </cols>
  <sheetData>
    <row r="1" spans="1:10">
      <c r="A1" s="96" t="s">
        <v>198</v>
      </c>
    </row>
    <row r="2" spans="1:10">
      <c r="A2" s="106"/>
    </row>
    <row r="4" spans="1:10">
      <c r="A4" s="97" t="s">
        <v>199</v>
      </c>
    </row>
    <row r="5" spans="1:10">
      <c r="A5" s="98" t="s">
        <v>76</v>
      </c>
      <c r="C5" s="98">
        <v>2025</v>
      </c>
      <c r="D5" s="98">
        <v>2050</v>
      </c>
      <c r="E5" s="98">
        <v>2075</v>
      </c>
      <c r="F5" s="98">
        <v>2100</v>
      </c>
    </row>
    <row r="6" spans="1:10">
      <c r="A6" s="2" t="s">
        <v>166</v>
      </c>
      <c r="B6" s="2" t="s">
        <v>200</v>
      </c>
      <c r="C6" s="107">
        <f>PopulationTrajectory!B7</f>
        <v>24075000</v>
      </c>
      <c r="D6" s="107">
        <f>PopulationTrajectory!B8</f>
        <v>37304000</v>
      </c>
      <c r="E6" s="107">
        <f>PopulationTrajectory!B9</f>
        <v>46764000</v>
      </c>
      <c r="F6" s="107">
        <f>PopulationTrajectory!B10</f>
        <v>49846000</v>
      </c>
    </row>
    <row r="7" spans="1:10">
      <c r="A7" s="2" t="s">
        <v>201</v>
      </c>
      <c r="B7" s="2" t="s">
        <v>202</v>
      </c>
      <c r="C7" s="108">
        <v>8161973000</v>
      </c>
      <c r="D7" s="108">
        <v>9664379000</v>
      </c>
      <c r="E7" s="108">
        <v>10250493000</v>
      </c>
      <c r="F7" s="108">
        <v>10180161000</v>
      </c>
    </row>
    <row r="9" spans="1:10">
      <c r="A9" s="97" t="s">
        <v>203</v>
      </c>
    </row>
    <row r="10" spans="1:10">
      <c r="A10" s="98" t="s">
        <v>204</v>
      </c>
      <c r="B10" s="98" t="s">
        <v>205</v>
      </c>
      <c r="C10" s="98" t="s">
        <v>206</v>
      </c>
      <c r="D10" s="98" t="s">
        <v>207</v>
      </c>
      <c r="E10" s="98" t="s">
        <v>208</v>
      </c>
      <c r="F10" s="98" t="s">
        <v>209</v>
      </c>
      <c r="G10" s="98" t="s">
        <v>210</v>
      </c>
      <c r="H10" s="98" t="s">
        <v>211</v>
      </c>
      <c r="J10" s="98" t="s">
        <v>212</v>
      </c>
    </row>
    <row r="11" spans="1:10">
      <c r="A11" s="2" t="s">
        <v>213</v>
      </c>
      <c r="B11" s="2" t="s">
        <v>214</v>
      </c>
      <c r="C11" s="109">
        <v>5</v>
      </c>
      <c r="D11" s="2" t="s">
        <v>215</v>
      </c>
      <c r="E11" s="109">
        <v>16.850000000000001</v>
      </c>
      <c r="F11" s="2" t="s">
        <v>215</v>
      </c>
      <c r="G11" s="110">
        <v>1000000000</v>
      </c>
      <c r="H11" s="111">
        <f>E11*G11/C$7</f>
        <v>2.0644518182062108</v>
      </c>
      <c r="J11" s="106" t="s">
        <v>216</v>
      </c>
    </row>
    <row r="12" spans="1:10">
      <c r="A12" s="2" t="s">
        <v>213</v>
      </c>
      <c r="B12" s="2" t="s">
        <v>217</v>
      </c>
      <c r="C12" s="108">
        <v>2500</v>
      </c>
      <c r="D12" s="2" t="s">
        <v>218</v>
      </c>
      <c r="E12" s="108">
        <v>1500</v>
      </c>
      <c r="F12" s="2" t="s">
        <v>218</v>
      </c>
      <c r="G12" s="110">
        <v>1000000</v>
      </c>
      <c r="H12" s="111">
        <f>E12*G12/C$7</f>
        <v>0.18377909360886149</v>
      </c>
      <c r="J12" s="106" t="s">
        <v>219</v>
      </c>
    </row>
    <row r="13" spans="1:10">
      <c r="A13" s="2" t="s">
        <v>213</v>
      </c>
      <c r="B13" s="2" t="s">
        <v>220</v>
      </c>
      <c r="C13" s="109">
        <v>8</v>
      </c>
      <c r="D13" s="2" t="s">
        <v>221</v>
      </c>
      <c r="E13" s="109">
        <v>7.2</v>
      </c>
      <c r="F13" s="2" t="s">
        <v>221</v>
      </c>
      <c r="G13" s="110">
        <v>1000000000</v>
      </c>
      <c r="H13" s="111">
        <f>E13*G13/C$7</f>
        <v>0.88213964932253508</v>
      </c>
      <c r="J13" s="106" t="s">
        <v>222</v>
      </c>
    </row>
    <row r="14" spans="1:10">
      <c r="A14" s="2" t="s">
        <v>213</v>
      </c>
      <c r="B14" s="2" t="s">
        <v>223</v>
      </c>
      <c r="C14" s="109">
        <v>90</v>
      </c>
      <c r="D14" s="2" t="s">
        <v>224</v>
      </c>
      <c r="E14" s="108">
        <v>115</v>
      </c>
      <c r="F14" s="2" t="s">
        <v>224</v>
      </c>
      <c r="G14" s="110">
        <v>1000000000</v>
      </c>
      <c r="H14" s="111">
        <f>E14*G14/C$7</f>
        <v>14.089730510012714</v>
      </c>
      <c r="J14" s="106" t="s">
        <v>222</v>
      </c>
    </row>
    <row r="15" spans="1:10">
      <c r="A15" s="2" t="s">
        <v>213</v>
      </c>
      <c r="B15" s="2" t="s">
        <v>225</v>
      </c>
      <c r="C15" s="108">
        <v>1300</v>
      </c>
      <c r="D15" s="2" t="s">
        <v>86</v>
      </c>
      <c r="E15" s="108">
        <v>1573</v>
      </c>
      <c r="F15" s="2" t="s">
        <v>86</v>
      </c>
      <c r="G15" s="110">
        <v>1000000</v>
      </c>
      <c r="H15" s="111">
        <f>E15*G15/C$7</f>
        <v>0.19272300949782609</v>
      </c>
      <c r="J15" s="106" t="s">
        <v>226</v>
      </c>
    </row>
    <row r="16" spans="1:10">
      <c r="A16" s="2" t="s">
        <v>166</v>
      </c>
      <c r="B16" s="2" t="s">
        <v>214</v>
      </c>
      <c r="C16" s="109">
        <v>14.75</v>
      </c>
      <c r="D16" s="2" t="s">
        <v>227</v>
      </c>
      <c r="E16" s="111">
        <f>2.71*C6/1000000</f>
        <v>65.243250000000003</v>
      </c>
      <c r="F16" s="2" t="s">
        <v>227</v>
      </c>
      <c r="G16" s="110">
        <v>1000000</v>
      </c>
      <c r="H16" s="111">
        <f>E16*G16/C$6</f>
        <v>2.71</v>
      </c>
      <c r="J16" s="106" t="s">
        <v>228</v>
      </c>
    </row>
    <row r="17" spans="1:20">
      <c r="A17" s="2" t="s">
        <v>166</v>
      </c>
      <c r="B17" s="2" t="s">
        <v>229</v>
      </c>
      <c r="C17" s="109">
        <v>11.54</v>
      </c>
      <c r="D17" s="2" t="s">
        <v>218</v>
      </c>
      <c r="E17" s="109">
        <v>38.71</v>
      </c>
      <c r="F17" s="2" t="s">
        <v>218</v>
      </c>
      <c r="G17" s="110">
        <v>1000000</v>
      </c>
      <c r="H17" s="111">
        <f>E17*G17/C$6</f>
        <v>1.6078920041536864</v>
      </c>
      <c r="J17" s="106" t="s">
        <v>230</v>
      </c>
    </row>
    <row r="18" spans="1:20">
      <c r="A18" s="2" t="s">
        <v>166</v>
      </c>
      <c r="B18" s="2" t="s">
        <v>231</v>
      </c>
      <c r="C18" s="112">
        <f>C13*1000000*E20/C15</f>
        <v>36923.076923076922</v>
      </c>
      <c r="D18" s="2" t="s">
        <v>232</v>
      </c>
      <c r="E18" s="108">
        <v>10339</v>
      </c>
      <c r="F18" s="2" t="s">
        <v>232</v>
      </c>
      <c r="G18" s="110">
        <v>1000</v>
      </c>
      <c r="H18" s="111">
        <f>E18*G18/C$6</f>
        <v>0.42944963655244028</v>
      </c>
      <c r="J18" s="106" t="s">
        <v>233</v>
      </c>
    </row>
    <row r="19" spans="1:20">
      <c r="A19" s="2" t="s">
        <v>166</v>
      </c>
      <c r="B19" s="2" t="s">
        <v>234</v>
      </c>
      <c r="C19" s="112">
        <f>C14*1000000*E20/C15</f>
        <v>415384.61538461538</v>
      </c>
      <c r="D19" s="2" t="s">
        <v>235</v>
      </c>
      <c r="E19" s="107">
        <f>Sheet2!G14</f>
        <v>41041</v>
      </c>
      <c r="F19" s="2" t="s">
        <v>235</v>
      </c>
      <c r="G19" s="110">
        <v>1000</v>
      </c>
      <c r="H19" s="111">
        <f>E19*G19/C$6</f>
        <v>1.7047144340602285</v>
      </c>
      <c r="J19" s="106" t="s">
        <v>236</v>
      </c>
    </row>
    <row r="20" spans="1:20">
      <c r="A20" s="2" t="s">
        <v>166</v>
      </c>
      <c r="B20" s="2" t="s">
        <v>225</v>
      </c>
      <c r="C20" s="109">
        <v>4.97</v>
      </c>
      <c r="D20" s="2" t="s">
        <v>86</v>
      </c>
      <c r="E20" s="111">
        <f>LandSystemChange_Agri!B11</f>
        <v>6</v>
      </c>
      <c r="F20" s="2" t="s">
        <v>86</v>
      </c>
      <c r="G20" s="110">
        <v>1000000</v>
      </c>
      <c r="H20" s="111">
        <f>E20*G20/C$6</f>
        <v>0.24922118380062305</v>
      </c>
      <c r="J20" s="106" t="s">
        <v>237</v>
      </c>
    </row>
    <row r="21" spans="1:20">
      <c r="A21" s="106"/>
    </row>
    <row r="23" spans="1:20">
      <c r="A23" s="97"/>
    </row>
    <row r="24" spans="1:20">
      <c r="A24" s="98" t="s">
        <v>204</v>
      </c>
      <c r="B24" s="98" t="s">
        <v>238</v>
      </c>
      <c r="C24" s="98" t="s">
        <v>239</v>
      </c>
      <c r="D24" s="98" t="s">
        <v>240</v>
      </c>
      <c r="E24" s="98" t="s">
        <v>241</v>
      </c>
      <c r="F24" s="98" t="s">
        <v>242</v>
      </c>
      <c r="G24" s="98" t="s">
        <v>243</v>
      </c>
      <c r="H24" s="98" t="s">
        <v>244</v>
      </c>
      <c r="I24" s="98" t="s">
        <v>245</v>
      </c>
      <c r="J24" s="98" t="s">
        <v>246</v>
      </c>
      <c r="L24" s="98"/>
      <c r="M24" s="98"/>
      <c r="N24" s="98" t="s">
        <v>247</v>
      </c>
      <c r="O24" s="98" t="s">
        <v>248</v>
      </c>
      <c r="P24" s="98" t="s">
        <v>249</v>
      </c>
      <c r="Q24" s="98" t="s">
        <v>250</v>
      </c>
      <c r="R24" s="98" t="s">
        <v>251</v>
      </c>
      <c r="S24" s="98" t="s">
        <v>252</v>
      </c>
      <c r="T24" s="98" t="s">
        <v>253</v>
      </c>
    </row>
    <row r="25" spans="1:20">
      <c r="A25" s="2" t="str">
        <f t="shared" ref="A25:B34" si="0">A11</f>
        <v>Global</v>
      </c>
      <c r="B25" s="2" t="str">
        <f t="shared" si="0"/>
        <v>Climate (t CO₂eq)</v>
      </c>
      <c r="C25" s="111">
        <f t="shared" ref="C25:F29" si="1">$C11*$G11/C$7</f>
        <v>0.612596978696205</v>
      </c>
      <c r="D25" s="111">
        <f t="shared" si="1"/>
        <v>0.5173638161334525</v>
      </c>
      <c r="E25" s="111">
        <f t="shared" si="1"/>
        <v>0.48778141695233584</v>
      </c>
      <c r="F25" s="111">
        <f t="shared" si="1"/>
        <v>0.49115136784182489</v>
      </c>
      <c r="G25" s="113">
        <f t="shared" ref="G25:G34" si="2">$H11/C25</f>
        <v>3.37</v>
      </c>
      <c r="H25" s="113">
        <f t="shared" ref="H25:H34" si="3">$H11/D25</f>
        <v>3.9903289596767846</v>
      </c>
      <c r="I25" s="113">
        <f t="shared" ref="I25:I34" si="4">$H11/E25</f>
        <v>4.2323297822720072</v>
      </c>
      <c r="J25" s="113">
        <f t="shared" ref="J25:J34" si="5">$H11/F25</f>
        <v>4.2032903772163914</v>
      </c>
      <c r="L25" s="109">
        <v>0.61299999999999999</v>
      </c>
      <c r="M25" s="109">
        <v>0.51700000000000002</v>
      </c>
      <c r="N25" s="109">
        <v>0.48799999999999999</v>
      </c>
      <c r="O25" s="109">
        <v>0.49099999999999999</v>
      </c>
      <c r="P25" s="114">
        <v>3.37</v>
      </c>
      <c r="Q25" s="114">
        <v>3.99</v>
      </c>
      <c r="R25" s="114">
        <v>4.2300000000000004</v>
      </c>
      <c r="S25" s="114">
        <v>4.2</v>
      </c>
      <c r="T25" s="2" t="str">
        <f t="shared" ref="T25:T34" si="6">IF(((ABS(C25-L25)&gt;0.0015)*(ABS(C25/L25-1)&gt;0.002)+(ABS(D25-M25)&gt;0.0015)*(ABS(D25/M25-1)&gt;0.002)+(ABS(E25-N25)&gt;0.0015)*(ABS(E25/N25-1)&gt;0.002)+(ABS(F25-O25)&gt;0.0015)*(ABS(F25/O25-1)&gt;0.002)+(ABS(ROUND(G25,2)-P25)&gt;0.0105)+(ABS(ROUND(H25,2)-Q25)&gt;0.0105)+(ABS(ROUND(I25,2)-R25)&gt;0.0105)+(ABS(ROUND(J25,2)-S25)&gt;0.0105))=0,"OK","CHECK")</f>
        <v>OK</v>
      </c>
    </row>
    <row r="26" spans="1:20">
      <c r="A26" s="2" t="str">
        <f t="shared" si="0"/>
        <v>Global</v>
      </c>
      <c r="B26" s="2" t="str">
        <f t="shared" si="0"/>
        <v>Freshwater (10³ m³)</v>
      </c>
      <c r="C26" s="111">
        <f t="shared" si="1"/>
        <v>0.3062984893481025</v>
      </c>
      <c r="D26" s="111">
        <f t="shared" si="1"/>
        <v>0.25868190806672625</v>
      </c>
      <c r="E26" s="111">
        <f t="shared" si="1"/>
        <v>0.24389070847616792</v>
      </c>
      <c r="F26" s="111">
        <f t="shared" si="1"/>
        <v>0.24557568392091245</v>
      </c>
      <c r="G26" s="113">
        <f t="shared" si="2"/>
        <v>0.6</v>
      </c>
      <c r="H26" s="113">
        <f t="shared" si="3"/>
        <v>0.71044432516500611</v>
      </c>
      <c r="I26" s="113">
        <f t="shared" si="4"/>
        <v>0.75353052503359186</v>
      </c>
      <c r="J26" s="113">
        <f t="shared" si="5"/>
        <v>0.74836030454891245</v>
      </c>
      <c r="L26" s="109">
        <v>0.30599999999999999</v>
      </c>
      <c r="M26" s="109">
        <v>0.25900000000000001</v>
      </c>
      <c r="N26" s="109">
        <v>0.24399999999999999</v>
      </c>
      <c r="O26" s="109">
        <v>0.246</v>
      </c>
      <c r="P26" s="114">
        <v>0.6</v>
      </c>
      <c r="Q26" s="114">
        <v>0.71</v>
      </c>
      <c r="R26" s="114">
        <v>0.75</v>
      </c>
      <c r="S26" s="114">
        <v>0.75</v>
      </c>
      <c r="T26" s="2" t="str">
        <f t="shared" si="6"/>
        <v>OK</v>
      </c>
    </row>
    <row r="27" spans="1:20">
      <c r="A27" s="2" t="str">
        <f t="shared" si="0"/>
        <v>Global</v>
      </c>
      <c r="B27" s="2" t="str">
        <f t="shared" si="0"/>
        <v>Phosphorus (kg P)</v>
      </c>
      <c r="C27" s="111">
        <f t="shared" si="1"/>
        <v>0.98015516591392793</v>
      </c>
      <c r="D27" s="111">
        <f t="shared" si="1"/>
        <v>0.82778210581352407</v>
      </c>
      <c r="E27" s="111">
        <f t="shared" si="1"/>
        <v>0.78045026712373733</v>
      </c>
      <c r="F27" s="111">
        <f t="shared" si="1"/>
        <v>0.78584218854691978</v>
      </c>
      <c r="G27" s="113">
        <f t="shared" si="2"/>
        <v>0.89999999999999991</v>
      </c>
      <c r="H27" s="113">
        <f t="shared" si="3"/>
        <v>1.0656664877475091</v>
      </c>
      <c r="I27" s="113">
        <f t="shared" si="4"/>
        <v>1.1302957875503876</v>
      </c>
      <c r="J27" s="113">
        <f t="shared" si="5"/>
        <v>1.1225404568233686</v>
      </c>
      <c r="L27" s="109">
        <v>0.98</v>
      </c>
      <c r="M27" s="109">
        <v>0.82799999999999996</v>
      </c>
      <c r="N27" s="109">
        <v>0.78</v>
      </c>
      <c r="O27" s="109">
        <v>0.78600000000000003</v>
      </c>
      <c r="P27" s="114">
        <v>0.9</v>
      </c>
      <c r="Q27" s="114">
        <v>1.07</v>
      </c>
      <c r="R27" s="114">
        <v>1.1299999999999999</v>
      </c>
      <c r="S27" s="114">
        <v>1.1200000000000001</v>
      </c>
      <c r="T27" s="2" t="str">
        <f t="shared" si="6"/>
        <v>OK</v>
      </c>
    </row>
    <row r="28" spans="1:20">
      <c r="A28" s="2" t="str">
        <f t="shared" si="0"/>
        <v>Global</v>
      </c>
      <c r="B28" s="2" t="str">
        <f t="shared" si="0"/>
        <v>Nitrogen (kg N)</v>
      </c>
      <c r="C28" s="111">
        <f t="shared" si="1"/>
        <v>11.02674561653169</v>
      </c>
      <c r="D28" s="111">
        <f t="shared" si="1"/>
        <v>9.3125486904021457</v>
      </c>
      <c r="E28" s="111">
        <f t="shared" si="1"/>
        <v>8.780065505142046</v>
      </c>
      <c r="F28" s="111">
        <f t="shared" si="1"/>
        <v>8.8407246211528481</v>
      </c>
      <c r="G28" s="113">
        <f t="shared" si="2"/>
        <v>1.2777777777777777</v>
      </c>
      <c r="H28" s="113">
        <f t="shared" si="3"/>
        <v>1.512983285073624</v>
      </c>
      <c r="I28" s="113">
        <f t="shared" si="4"/>
        <v>1.6047409329419082</v>
      </c>
      <c r="J28" s="113">
        <f t="shared" si="5"/>
        <v>1.5937302782060172</v>
      </c>
      <c r="L28" s="109">
        <v>11.026999999999999</v>
      </c>
      <c r="M28" s="109">
        <v>9.3130000000000006</v>
      </c>
      <c r="N28" s="109">
        <v>8.7799999999999994</v>
      </c>
      <c r="O28" s="109">
        <v>8.8409999999999993</v>
      </c>
      <c r="P28" s="114">
        <v>1.28</v>
      </c>
      <c r="Q28" s="114">
        <v>1.51</v>
      </c>
      <c r="R28" s="114">
        <v>1.6</v>
      </c>
      <c r="S28" s="114">
        <v>1.59</v>
      </c>
      <c r="T28" s="2" t="str">
        <f t="shared" si="6"/>
        <v>OK</v>
      </c>
    </row>
    <row r="29" spans="1:20">
      <c r="A29" s="2" t="str">
        <f t="shared" si="0"/>
        <v>Global</v>
      </c>
      <c r="B29" s="2" t="str">
        <f t="shared" si="0"/>
        <v>Cropland (ha)</v>
      </c>
      <c r="C29" s="111">
        <f t="shared" si="1"/>
        <v>0.15927521446101328</v>
      </c>
      <c r="D29" s="111">
        <f t="shared" si="1"/>
        <v>0.13451459219469766</v>
      </c>
      <c r="E29" s="111">
        <f t="shared" si="1"/>
        <v>0.12682316840760732</v>
      </c>
      <c r="F29" s="111">
        <f t="shared" si="1"/>
        <v>0.12769935563887447</v>
      </c>
      <c r="G29" s="113">
        <f t="shared" si="2"/>
        <v>1.2100000000000002</v>
      </c>
      <c r="H29" s="113">
        <f t="shared" si="3"/>
        <v>1.4327293890827624</v>
      </c>
      <c r="I29" s="113">
        <f t="shared" si="4"/>
        <v>1.5196198921510768</v>
      </c>
      <c r="J29" s="113">
        <f t="shared" si="5"/>
        <v>1.5091932808403068</v>
      </c>
      <c r="L29" s="109">
        <v>0.159</v>
      </c>
      <c r="M29" s="109">
        <v>0.13500000000000001</v>
      </c>
      <c r="N29" s="109">
        <v>0.127</v>
      </c>
      <c r="O29" s="109">
        <v>0.128</v>
      </c>
      <c r="P29" s="114">
        <v>1.21</v>
      </c>
      <c r="Q29" s="114">
        <v>1.43</v>
      </c>
      <c r="R29" s="114">
        <v>1.52</v>
      </c>
      <c r="S29" s="114">
        <v>1.51</v>
      </c>
      <c r="T29" s="2" t="str">
        <f t="shared" si="6"/>
        <v>OK</v>
      </c>
    </row>
    <row r="30" spans="1:20">
      <c r="A30" s="2" t="str">
        <f t="shared" si="0"/>
        <v>Burkina Faso</v>
      </c>
      <c r="B30" s="2" t="str">
        <f t="shared" si="0"/>
        <v>Climate (t CO₂eq)</v>
      </c>
      <c r="C30" s="111">
        <f t="shared" ref="C30:F34" si="7">$C16*$G16/C$6</f>
        <v>0.612668743509865</v>
      </c>
      <c r="D30" s="111">
        <f t="shared" si="7"/>
        <v>0.39539995710915721</v>
      </c>
      <c r="E30" s="111">
        <f t="shared" si="7"/>
        <v>0.31541356599093318</v>
      </c>
      <c r="F30" s="111">
        <f t="shared" si="7"/>
        <v>0.29591140713397263</v>
      </c>
      <c r="G30" s="113">
        <f t="shared" si="2"/>
        <v>4.4232711864406777</v>
      </c>
      <c r="H30" s="113">
        <f t="shared" si="3"/>
        <v>6.8538196610169493</v>
      </c>
      <c r="I30" s="113">
        <f t="shared" si="4"/>
        <v>8.5918942372881357</v>
      </c>
      <c r="J30" s="113">
        <f t="shared" si="5"/>
        <v>9.1581464406779656</v>
      </c>
      <c r="L30" s="109">
        <v>0.61299999999999999</v>
      </c>
      <c r="M30" s="109">
        <v>0.39500000000000002</v>
      </c>
      <c r="N30" s="109">
        <v>0.315</v>
      </c>
      <c r="O30" s="109">
        <v>0.29599999999999999</v>
      </c>
      <c r="P30" s="114">
        <v>4.42</v>
      </c>
      <c r="Q30" s="114">
        <v>6.85</v>
      </c>
      <c r="R30" s="114">
        <v>8.59</v>
      </c>
      <c r="S30" s="114">
        <v>9.16</v>
      </c>
      <c r="T30" s="2" t="str">
        <f t="shared" si="6"/>
        <v>OK</v>
      </c>
    </row>
    <row r="31" spans="1:20">
      <c r="A31" s="2" t="str">
        <f t="shared" si="0"/>
        <v>Burkina Faso</v>
      </c>
      <c r="B31" s="2" t="str">
        <f t="shared" si="0"/>
        <v>Freshwater green water (10³ m³)</v>
      </c>
      <c r="C31" s="111">
        <f t="shared" si="7"/>
        <v>0.4793354101765317</v>
      </c>
      <c r="D31" s="111">
        <f t="shared" si="7"/>
        <v>0.30935020373150335</v>
      </c>
      <c r="E31" s="111">
        <f t="shared" si="7"/>
        <v>0.24677102044307586</v>
      </c>
      <c r="F31" s="111">
        <f t="shared" si="7"/>
        <v>0.23151306022549453</v>
      </c>
      <c r="G31" s="113">
        <f t="shared" si="2"/>
        <v>3.3544194107452339</v>
      </c>
      <c r="H31" s="113">
        <f t="shared" si="3"/>
        <v>5.1976432688864049</v>
      </c>
      <c r="I31" s="113">
        <f t="shared" si="4"/>
        <v>6.5157245825167234</v>
      </c>
      <c r="J31" s="113">
        <f t="shared" si="5"/>
        <v>6.945145999917214</v>
      </c>
      <c r="L31" s="109">
        <v>0.47899999999999998</v>
      </c>
      <c r="M31" s="109">
        <v>0.309</v>
      </c>
      <c r="N31" s="109">
        <v>0.247</v>
      </c>
      <c r="O31" s="109">
        <v>0.23200000000000001</v>
      </c>
      <c r="P31" s="114">
        <v>3.36</v>
      </c>
      <c r="Q31" s="114">
        <v>5.2</v>
      </c>
      <c r="R31" s="114">
        <v>6.52</v>
      </c>
      <c r="S31" s="114">
        <v>6.95</v>
      </c>
      <c r="T31" s="2" t="str">
        <f t="shared" si="6"/>
        <v>OK</v>
      </c>
    </row>
    <row r="32" spans="1:20">
      <c r="A32" s="2" t="str">
        <f t="shared" si="0"/>
        <v>Burkina Faso</v>
      </c>
      <c r="B32" s="2" t="str">
        <f t="shared" si="0"/>
        <v>Phosphorus fertilizer applied (kg P)</v>
      </c>
      <c r="C32" s="111">
        <f t="shared" si="7"/>
        <v>1.5336688233884495</v>
      </c>
      <c r="D32" s="111">
        <f t="shared" si="7"/>
        <v>0.98978868011679499</v>
      </c>
      <c r="E32" s="111">
        <f t="shared" si="7"/>
        <v>0.78956199048577791</v>
      </c>
      <c r="F32" s="111">
        <f t="shared" si="7"/>
        <v>0.74074302698465111</v>
      </c>
      <c r="G32" s="113">
        <f t="shared" si="2"/>
        <v>0.28001458333333334</v>
      </c>
      <c r="H32" s="113">
        <f t="shared" si="3"/>
        <v>0.43388012530287301</v>
      </c>
      <c r="I32" s="113">
        <f t="shared" si="4"/>
        <v>0.54390870093457955</v>
      </c>
      <c r="J32" s="113">
        <f t="shared" si="5"/>
        <v>0.57975521997230883</v>
      </c>
      <c r="L32" s="109">
        <v>1.534</v>
      </c>
      <c r="M32" s="109">
        <v>0.99</v>
      </c>
      <c r="N32" s="109">
        <v>0.79</v>
      </c>
      <c r="O32" s="109">
        <v>0.74099999999999999</v>
      </c>
      <c r="P32" s="114">
        <v>0.28000000000000003</v>
      </c>
      <c r="Q32" s="114">
        <v>0.43</v>
      </c>
      <c r="R32" s="114">
        <v>0.54</v>
      </c>
      <c r="S32" s="114">
        <v>0.57999999999999996</v>
      </c>
      <c r="T32" s="2" t="str">
        <f t="shared" si="6"/>
        <v>OK</v>
      </c>
    </row>
    <row r="33" spans="1:20">
      <c r="A33" s="2" t="str">
        <f t="shared" si="0"/>
        <v>Burkina Faso</v>
      </c>
      <c r="B33" s="2" t="str">
        <f t="shared" si="0"/>
        <v>Nitrogen fertilizer applied (kg N)</v>
      </c>
      <c r="C33" s="111">
        <f t="shared" si="7"/>
        <v>17.253774263120057</v>
      </c>
      <c r="D33" s="111">
        <f t="shared" si="7"/>
        <v>11.135122651313944</v>
      </c>
      <c r="E33" s="111">
        <f t="shared" si="7"/>
        <v>8.8825723929650025</v>
      </c>
      <c r="F33" s="111">
        <f t="shared" si="7"/>
        <v>8.3333590535773254</v>
      </c>
      <c r="G33" s="113">
        <f t="shared" si="2"/>
        <v>9.8802407407407408E-2</v>
      </c>
      <c r="H33" s="113">
        <f t="shared" si="3"/>
        <v>0.15309345819006961</v>
      </c>
      <c r="I33" s="113">
        <f t="shared" si="4"/>
        <v>0.19191675098650052</v>
      </c>
      <c r="J33" s="113">
        <f t="shared" si="5"/>
        <v>0.2045651007115111</v>
      </c>
      <c r="L33" s="109">
        <v>17.254000000000001</v>
      </c>
      <c r="M33" s="109">
        <v>11.135</v>
      </c>
      <c r="N33" s="109">
        <v>8.8829999999999991</v>
      </c>
      <c r="O33" s="109">
        <v>8.3330000000000002</v>
      </c>
      <c r="P33" s="114">
        <v>0.1</v>
      </c>
      <c r="Q33" s="114">
        <v>0.15</v>
      </c>
      <c r="R33" s="114">
        <v>0.19</v>
      </c>
      <c r="S33" s="114">
        <v>0.2</v>
      </c>
      <c r="T33" s="2" t="str">
        <f t="shared" si="6"/>
        <v>OK</v>
      </c>
    </row>
    <row r="34" spans="1:20">
      <c r="A34" s="2" t="str">
        <f t="shared" si="0"/>
        <v>Burkina Faso</v>
      </c>
      <c r="B34" s="2" t="str">
        <f t="shared" si="0"/>
        <v>Cropland (ha)</v>
      </c>
      <c r="C34" s="111">
        <f t="shared" si="7"/>
        <v>0.20643821391484943</v>
      </c>
      <c r="D34" s="111">
        <f t="shared" si="7"/>
        <v>0.13322968046322109</v>
      </c>
      <c r="E34" s="111">
        <f t="shared" si="7"/>
        <v>0.10627833376101274</v>
      </c>
      <c r="F34" s="111">
        <f t="shared" si="7"/>
        <v>9.9707097861413158E-2</v>
      </c>
      <c r="G34" s="113">
        <f t="shared" si="2"/>
        <v>1.2072434607645874</v>
      </c>
      <c r="H34" s="113">
        <f t="shared" si="3"/>
        <v>1.8706130866194051</v>
      </c>
      <c r="I34" s="113">
        <f t="shared" si="4"/>
        <v>2.3449858026664661</v>
      </c>
      <c r="J34" s="113">
        <f t="shared" si="5"/>
        <v>2.4995330236872948</v>
      </c>
      <c r="L34" s="109">
        <v>0.20599999999999999</v>
      </c>
      <c r="M34" s="109">
        <v>0.13300000000000001</v>
      </c>
      <c r="N34" s="109">
        <v>0.106</v>
      </c>
      <c r="O34" s="109">
        <v>0.1</v>
      </c>
      <c r="P34" s="114">
        <v>1.21</v>
      </c>
      <c r="Q34" s="114">
        <v>1.87</v>
      </c>
      <c r="R34" s="114">
        <v>2.35</v>
      </c>
      <c r="S34" s="114">
        <v>2.5</v>
      </c>
      <c r="T34" s="2" t="str">
        <f t="shared" si="6"/>
        <v>OK</v>
      </c>
    </row>
    <row r="36" spans="1:20">
      <c r="A36" s="97"/>
    </row>
    <row r="37" spans="1:20">
      <c r="A37" s="106"/>
    </row>
    <row r="38" spans="1:20">
      <c r="A38" s="94"/>
    </row>
    <row r="39" spans="1:20">
      <c r="A39" s="10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topLeftCell="A37" zoomScaleNormal="100" workbookViewId="0">
      <selection activeCell="G17" sqref="G17"/>
    </sheetView>
  </sheetViews>
  <sheetFormatPr defaultColWidth="8.453125" defaultRowHeight="17"/>
  <cols>
    <col min="1" max="1" width="34" style="1" customWidth="1"/>
    <col min="2" max="5" width="12" style="1" customWidth="1"/>
    <col min="6" max="6" width="3" style="1" customWidth="1"/>
    <col min="7" max="7" width="44" style="1" customWidth="1"/>
  </cols>
  <sheetData>
    <row r="1" spans="1:7">
      <c r="A1" s="96" t="s">
        <v>254</v>
      </c>
    </row>
    <row r="2" spans="1:7">
      <c r="A2" s="106" t="s">
        <v>255</v>
      </c>
    </row>
    <row r="4" spans="1:7">
      <c r="A4" s="97" t="s">
        <v>256</v>
      </c>
    </row>
    <row r="5" spans="1:7">
      <c r="A5" s="98" t="s">
        <v>257</v>
      </c>
      <c r="B5" s="98" t="s">
        <v>82</v>
      </c>
      <c r="G5" s="98" t="s">
        <v>84</v>
      </c>
    </row>
    <row r="6" spans="1:7">
      <c r="A6" s="2" t="s">
        <v>258</v>
      </c>
      <c r="B6" s="114">
        <v>0.53</v>
      </c>
      <c r="G6" s="106" t="s">
        <v>259</v>
      </c>
    </row>
    <row r="7" spans="1:7">
      <c r="A7" s="2" t="s">
        <v>260</v>
      </c>
      <c r="B7" s="108">
        <v>3400</v>
      </c>
      <c r="G7" s="106" t="s">
        <v>261</v>
      </c>
    </row>
    <row r="8" spans="1:7">
      <c r="A8" s="2" t="s">
        <v>262</v>
      </c>
      <c r="B8" s="109">
        <v>1.214</v>
      </c>
      <c r="G8" s="106" t="s">
        <v>263</v>
      </c>
    </row>
    <row r="9" spans="1:7">
      <c r="A9" s="2" t="s">
        <v>264</v>
      </c>
      <c r="B9" s="115">
        <f>FoodSecurity_Cereal!B20</f>
        <v>1.19</v>
      </c>
      <c r="G9" s="106" t="s">
        <v>394</v>
      </c>
    </row>
    <row r="10" spans="1:7">
      <c r="A10" s="2" t="s">
        <v>265</v>
      </c>
      <c r="B10" s="113">
        <f>LandSystemChange_Agri!B11</f>
        <v>6</v>
      </c>
      <c r="G10" s="106" t="s">
        <v>266</v>
      </c>
    </row>
    <row r="11" spans="1:7">
      <c r="A11" s="2" t="s">
        <v>267</v>
      </c>
      <c r="B11" s="114">
        <v>4.97</v>
      </c>
      <c r="G11" s="106" t="s">
        <v>268</v>
      </c>
    </row>
    <row r="13" spans="1:7">
      <c r="A13" s="98" t="s">
        <v>76</v>
      </c>
      <c r="B13" s="98">
        <v>2025</v>
      </c>
      <c r="C13" s="98">
        <v>2050</v>
      </c>
      <c r="D13" s="98">
        <v>2075</v>
      </c>
      <c r="E13" s="98">
        <v>2100</v>
      </c>
    </row>
    <row r="14" spans="1:7">
      <c r="A14" s="2" t="s">
        <v>269</v>
      </c>
      <c r="B14" s="107">
        <f>PopulationTrajectory!B7</f>
        <v>24075000</v>
      </c>
      <c r="C14" s="107">
        <f>PopulationTrajectory!B8</f>
        <v>37304000</v>
      </c>
      <c r="D14" s="107">
        <f>PopulationTrajectory!B9</f>
        <v>46764000</v>
      </c>
      <c r="E14" s="107">
        <f>PopulationTrajectory!B10</f>
        <v>49846000</v>
      </c>
    </row>
    <row r="16" spans="1:7">
      <c r="A16" s="97" t="s">
        <v>270</v>
      </c>
    </row>
    <row r="17" spans="1:5">
      <c r="A17" s="98" t="s">
        <v>271</v>
      </c>
      <c r="B17" s="98">
        <v>2025</v>
      </c>
      <c r="C17" s="98">
        <v>2050</v>
      </c>
      <c r="D17" s="98">
        <v>2075</v>
      </c>
      <c r="E17" s="98">
        <v>2100</v>
      </c>
    </row>
    <row r="18" spans="1:5">
      <c r="A18" s="2" t="s">
        <v>272</v>
      </c>
      <c r="B18" s="113">
        <f>B$14*2700*365*$B$6/$B$7*$B$8/1000000000</f>
        <v>4.489919594338236</v>
      </c>
      <c r="C18" s="113">
        <f>C$14*2700*365*$B$6/$B$7*$B$8/1000000000</f>
        <v>6.957090780776471</v>
      </c>
      <c r="D18" s="113">
        <f>D$14*2700*365*$B$6/$B$7*$B$8/1000000000</f>
        <v>8.7213540980117639</v>
      </c>
      <c r="E18" s="113">
        <f>E$14*2700*365*$B$6/$B$7*$B$8/1000000000</f>
        <v>9.2961384049588247</v>
      </c>
    </row>
    <row r="19" spans="1:5">
      <c r="A19" s="2" t="s">
        <v>273</v>
      </c>
      <c r="B19" s="113">
        <f>B18/$B$9</f>
        <v>3.773041675914484</v>
      </c>
      <c r="C19" s="113">
        <f>C18/$B$9</f>
        <v>5.8462947737617403</v>
      </c>
      <c r="D19" s="113">
        <f>D18/$B$9</f>
        <v>7.3288689899258523</v>
      </c>
      <c r="E19" s="113">
        <f>E18/$B$9</f>
        <v>7.8118810125704412</v>
      </c>
    </row>
    <row r="20" spans="1:5">
      <c r="A20" s="2" t="s">
        <v>274</v>
      </c>
      <c r="B20" s="116">
        <f>B19/$B$10</f>
        <v>0.62884027931908071</v>
      </c>
      <c r="C20" s="116">
        <f>C19/$B$10</f>
        <v>0.97438246229362335</v>
      </c>
      <c r="D20" s="116">
        <f>D19/$B$10</f>
        <v>1.2214781649876421</v>
      </c>
      <c r="E20" s="116">
        <f>E19/$B$10</f>
        <v>1.3019801687617403</v>
      </c>
    </row>
    <row r="21" spans="1:5">
      <c r="A21" s="2" t="s">
        <v>275</v>
      </c>
      <c r="B21" s="116">
        <f>B19/$B$11</f>
        <v>0.7591633150733369</v>
      </c>
      <c r="C21" s="116">
        <f>C19/$B$11</f>
        <v>1.1763168558876742</v>
      </c>
      <c r="D21" s="116">
        <f>D19/$B$11</f>
        <v>1.4746215271480589</v>
      </c>
      <c r="E21" s="116">
        <f>E19/$B$11</f>
        <v>1.571807044782785</v>
      </c>
    </row>
    <row r="22" spans="1:5">
      <c r="A22" s="2" t="s">
        <v>276</v>
      </c>
      <c r="B22" s="113">
        <f>B18/$B$11</f>
        <v>0.90340434493727084</v>
      </c>
      <c r="C22" s="113">
        <f>C18/$B$11</f>
        <v>1.3998170585063323</v>
      </c>
      <c r="D22" s="113">
        <f>D18/$B$11</f>
        <v>1.7547996173061899</v>
      </c>
      <c r="E22" s="113">
        <f>E18/$B$11</f>
        <v>1.870450383291514</v>
      </c>
    </row>
    <row r="24" spans="1:5">
      <c r="A24" s="98" t="s">
        <v>277</v>
      </c>
      <c r="B24" s="98">
        <v>2025</v>
      </c>
      <c r="C24" s="98">
        <v>2050</v>
      </c>
      <c r="D24" s="98">
        <v>2075</v>
      </c>
      <c r="E24" s="98">
        <v>2100</v>
      </c>
    </row>
    <row r="25" spans="1:5">
      <c r="A25" s="2" t="s">
        <v>272</v>
      </c>
      <c r="B25" s="113">
        <f>B$14*2850*365*$B$6/$B$7*$B$8/1000000000</f>
        <v>4.7393595718014705</v>
      </c>
      <c r="C25" s="113">
        <f>C$14*2850*365*$B$6/$B$7*$B$8/1000000000</f>
        <v>7.3435958241529411</v>
      </c>
      <c r="D25" s="113">
        <f>D$14*2850*365*$B$6/$B$7*$B$8/1000000000</f>
        <v>9.2058737701235298</v>
      </c>
      <c r="E25" s="113">
        <f>E$14*2850*365*$B$6/$B$7*$B$8/1000000000</f>
        <v>9.8125905385676475</v>
      </c>
    </row>
    <row r="26" spans="1:5">
      <c r="A26" s="2" t="s">
        <v>273</v>
      </c>
      <c r="B26" s="113">
        <f>B25/$B$9</f>
        <v>3.982655102354177</v>
      </c>
      <c r="C26" s="113">
        <f>C25/$B$9</f>
        <v>6.171088927859615</v>
      </c>
      <c r="D26" s="113">
        <f>D25/$B$9</f>
        <v>7.7360283782550674</v>
      </c>
      <c r="E26" s="113">
        <f>E25/$B$9</f>
        <v>8.2458744021576873</v>
      </c>
    </row>
    <row r="27" spans="1:5">
      <c r="A27" s="2" t="s">
        <v>274</v>
      </c>
      <c r="B27" s="116">
        <f>B26/$B$10</f>
        <v>0.66377585039236287</v>
      </c>
      <c r="C27" s="116">
        <f>C26/$B$10</f>
        <v>1.0285148213099358</v>
      </c>
      <c r="D27" s="116">
        <f>D26/$B$10</f>
        <v>1.2893380630425113</v>
      </c>
      <c r="E27" s="116">
        <f>E26/$B$10</f>
        <v>1.3743124003596145</v>
      </c>
    </row>
    <row r="28" spans="1:5">
      <c r="A28" s="2" t="s">
        <v>275</v>
      </c>
      <c r="B28" s="116">
        <f>B26/$B$11</f>
        <v>0.80133905479963319</v>
      </c>
      <c r="C28" s="116">
        <f>C26/$B$11</f>
        <v>1.2416677923258783</v>
      </c>
      <c r="D28" s="116">
        <f>D26/$B$11</f>
        <v>1.5565449453229512</v>
      </c>
      <c r="E28" s="116">
        <f>E26/$B$11</f>
        <v>1.6591296583818285</v>
      </c>
    </row>
    <row r="29" spans="1:5">
      <c r="A29" s="2" t="s">
        <v>276</v>
      </c>
      <c r="B29" s="113">
        <f>B25/$B$11</f>
        <v>0.95359347521156357</v>
      </c>
      <c r="C29" s="113">
        <f>C25/$B$11</f>
        <v>1.477584672867795</v>
      </c>
      <c r="D29" s="113">
        <f>D25/$B$11</f>
        <v>1.852288484934312</v>
      </c>
      <c r="E29" s="113">
        <f>E25/$B$11</f>
        <v>1.9743642934743759</v>
      </c>
    </row>
    <row r="31" spans="1:5">
      <c r="A31" s="98" t="s">
        <v>278</v>
      </c>
      <c r="B31" s="98">
        <v>2025</v>
      </c>
      <c r="C31" s="98">
        <v>2050</v>
      </c>
      <c r="D31" s="98">
        <v>2075</v>
      </c>
      <c r="E31" s="98">
        <v>2100</v>
      </c>
    </row>
    <row r="32" spans="1:5">
      <c r="A32" s="2" t="s">
        <v>272</v>
      </c>
      <c r="B32" s="113">
        <f>B$14*3000*365*$B$6/$B$7*$B$8/1000000000</f>
        <v>4.9887995492647059</v>
      </c>
      <c r="C32" s="113">
        <f>C$14*3000*365*$B$6/$B$7*$B$8/1000000000</f>
        <v>7.7301008675294112</v>
      </c>
      <c r="D32" s="113">
        <f>D$14*3000*365*$B$6/$B$7*$B$8/1000000000</f>
        <v>9.690393442235294</v>
      </c>
      <c r="E32" s="113">
        <f>E$14*3000*365*$B$6/$B$7*$B$8/1000000000</f>
        <v>10.32904267217647</v>
      </c>
    </row>
    <row r="33" spans="1:7">
      <c r="A33" s="2" t="s">
        <v>273</v>
      </c>
      <c r="B33" s="113">
        <f>B32/$B$9</f>
        <v>4.1922685287938704</v>
      </c>
      <c r="C33" s="113">
        <f>C32/$B$9</f>
        <v>6.4958830819574889</v>
      </c>
      <c r="D33" s="113">
        <f>D32/$B$9</f>
        <v>8.1431877665842816</v>
      </c>
      <c r="E33" s="113">
        <f>E32/$B$9</f>
        <v>8.6798677917449343</v>
      </c>
    </row>
    <row r="34" spans="1:7">
      <c r="A34" s="2" t="s">
        <v>274</v>
      </c>
      <c r="B34" s="116">
        <f>B33/$B$10</f>
        <v>0.69871142146564502</v>
      </c>
      <c r="C34" s="116">
        <f>C33/$B$10</f>
        <v>1.0826471803262481</v>
      </c>
      <c r="D34" s="116">
        <f>D33/$B$10</f>
        <v>1.3571979610973803</v>
      </c>
      <c r="E34" s="116">
        <f>E33/$B$10</f>
        <v>1.446644631957489</v>
      </c>
    </row>
    <row r="35" spans="1:7">
      <c r="A35" s="2" t="s">
        <v>275</v>
      </c>
      <c r="B35" s="116">
        <f>B33/$B$11</f>
        <v>0.8435147945259297</v>
      </c>
      <c r="C35" s="116">
        <f>C33/$B$11</f>
        <v>1.3070187287640824</v>
      </c>
      <c r="D35" s="116">
        <f>D33/$B$11</f>
        <v>1.6384683634978434</v>
      </c>
      <c r="E35" s="116">
        <f>E33/$B$11</f>
        <v>1.7464522719808722</v>
      </c>
    </row>
    <row r="36" spans="1:7">
      <c r="A36" s="2" t="s">
        <v>276</v>
      </c>
      <c r="B36" s="113">
        <f>B32/$B$11</f>
        <v>1.0037826054858563</v>
      </c>
      <c r="C36" s="113">
        <f>C32/$B$11</f>
        <v>1.5553522872292578</v>
      </c>
      <c r="D36" s="113">
        <f>D32/$B$11</f>
        <v>1.9497773525624336</v>
      </c>
      <c r="E36" s="113">
        <f>E32/$B$11</f>
        <v>2.0782782036572378</v>
      </c>
    </row>
    <row r="38" spans="1:7">
      <c r="A38" s="97" t="s">
        <v>279</v>
      </c>
    </row>
    <row r="39" spans="1:7">
      <c r="A39" s="98" t="s">
        <v>280</v>
      </c>
      <c r="B39" s="98">
        <v>2025</v>
      </c>
      <c r="C39" s="98">
        <v>2050</v>
      </c>
      <c r="D39" s="98">
        <v>2075</v>
      </c>
      <c r="E39" s="98">
        <v>2100</v>
      </c>
    </row>
    <row r="40" spans="1:7">
      <c r="A40" s="2" t="s">
        <v>281</v>
      </c>
      <c r="B40" s="2" t="str">
        <f t="shared" ref="B40:E41" si="0">TEXT(B20*100,"0")&amp;"–"&amp;TEXT(B34*100,"0")&amp;"%"</f>
        <v>63–70%</v>
      </c>
      <c r="C40" s="2" t="str">
        <f t="shared" si="0"/>
        <v>97–108%</v>
      </c>
      <c r="D40" s="2" t="str">
        <f t="shared" si="0"/>
        <v>122–136%</v>
      </c>
      <c r="E40" s="2" t="str">
        <f t="shared" si="0"/>
        <v>130–145%</v>
      </c>
    </row>
    <row r="41" spans="1:7">
      <c r="A41" s="2" t="s">
        <v>282</v>
      </c>
      <c r="B41" s="2" t="str">
        <f t="shared" si="0"/>
        <v>76–84%</v>
      </c>
      <c r="C41" s="2" t="str">
        <f t="shared" si="0"/>
        <v>118–131%</v>
      </c>
      <c r="D41" s="2" t="str">
        <f t="shared" si="0"/>
        <v>147–164%</v>
      </c>
      <c r="E41" s="2" t="str">
        <f t="shared" si="0"/>
        <v>157–175%</v>
      </c>
    </row>
    <row r="42" spans="1:7">
      <c r="A42" s="2" t="s">
        <v>283</v>
      </c>
      <c r="B42" s="2" t="str">
        <f>TEXT(B22,"0.00")&amp;"–"&amp;TEXT(B36,"0.00")</f>
        <v>0.90–1.00</v>
      </c>
      <c r="C42" s="2" t="str">
        <f>TEXT(C22,"0.00")&amp;"–"&amp;TEXT(C36,"0.00")</f>
        <v>1.40–1.56</v>
      </c>
      <c r="D42" s="2" t="str">
        <f>TEXT(D22,"0.00")&amp;"–"&amp;TEXT(D36,"0.00")</f>
        <v>1.75–1.95</v>
      </c>
      <c r="E42" s="2" t="str">
        <f>TEXT(E22,"0.00")&amp;"–"&amp;TEXT(E36,"0.00")</f>
        <v>1.87–2.08</v>
      </c>
    </row>
    <row r="43" spans="1:7">
      <c r="A43" s="2" t="s">
        <v>284</v>
      </c>
      <c r="B43" s="116">
        <f>(E29/$B$9)^(1/75)-1</f>
        <v>6.7734119949680593E-3</v>
      </c>
      <c r="G43" s="106"/>
    </row>
    <row r="44" spans="1:7">
      <c r="A44" s="106" t="s">
        <v>285</v>
      </c>
    </row>
    <row r="45" spans="1:7">
      <c r="A45" s="97" t="s">
        <v>286</v>
      </c>
    </row>
    <row r="46" spans="1:7">
      <c r="A46" s="98" t="s">
        <v>287</v>
      </c>
      <c r="B46" s="98" t="s">
        <v>288</v>
      </c>
      <c r="C46" s="98" t="s">
        <v>289</v>
      </c>
      <c r="D46" s="98" t="s">
        <v>290</v>
      </c>
    </row>
    <row r="47" spans="1:7">
      <c r="A47" s="114">
        <v>5</v>
      </c>
      <c r="B47" s="113">
        <f>B26/A47</f>
        <v>0.79653102047083535</v>
      </c>
      <c r="C47" s="113">
        <f>E26/A47</f>
        <v>1.6491748804315374</v>
      </c>
      <c r="D47" s="113">
        <f>$B$11*A47/$B$10</f>
        <v>4.1416666666666666</v>
      </c>
    </row>
    <row r="48" spans="1:7">
      <c r="A48" s="114">
        <v>6</v>
      </c>
      <c r="B48" s="113">
        <f>B26/A48</f>
        <v>0.66377585039236287</v>
      </c>
      <c r="C48" s="113">
        <f>E26/A48</f>
        <v>1.3743124003596145</v>
      </c>
      <c r="D48" s="113">
        <f>$B$11*A48/$B$10</f>
        <v>4.97</v>
      </c>
    </row>
    <row r="49" spans="1:4">
      <c r="A49" s="114">
        <v>7</v>
      </c>
      <c r="B49" s="113">
        <f>B26/A49</f>
        <v>0.56895072890773957</v>
      </c>
      <c r="C49" s="113">
        <f>E26/A49</f>
        <v>1.1779820574510982</v>
      </c>
      <c r="D49" s="113">
        <f>$B$11*A49/$B$10</f>
        <v>5.7983333333333329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4"/>
  <sheetViews>
    <sheetView topLeftCell="A34" zoomScaleNormal="100" workbookViewId="0">
      <selection activeCell="C73" sqref="C73"/>
    </sheetView>
  </sheetViews>
  <sheetFormatPr defaultColWidth="8.453125" defaultRowHeight="17"/>
  <cols>
    <col min="1" max="1" width="52" style="1" customWidth="1"/>
    <col min="2" max="6" width="15" style="1" customWidth="1"/>
    <col min="7" max="7" width="62" style="1" customWidth="1"/>
    <col min="8" max="9" width="15" style="1" customWidth="1"/>
  </cols>
  <sheetData>
    <row r="1" spans="1:7">
      <c r="A1" s="96" t="s">
        <v>291</v>
      </c>
    </row>
    <row r="2" spans="1:7">
      <c r="A2" s="117" t="s">
        <v>292</v>
      </c>
    </row>
    <row r="4" spans="1:7">
      <c r="A4" s="98" t="s">
        <v>293</v>
      </c>
    </row>
    <row r="5" spans="1:7">
      <c r="A5" s="98" t="s">
        <v>75</v>
      </c>
      <c r="B5" s="98" t="s">
        <v>294</v>
      </c>
      <c r="C5" s="98" t="s">
        <v>295</v>
      </c>
      <c r="D5" s="98" t="s">
        <v>296</v>
      </c>
      <c r="E5" s="98" t="s">
        <v>297</v>
      </c>
      <c r="F5" s="98" t="s">
        <v>298</v>
      </c>
    </row>
    <row r="6" spans="1:7">
      <c r="A6" s="118">
        <v>2015</v>
      </c>
      <c r="B6" s="119">
        <v>3584230</v>
      </c>
      <c r="C6" s="120">
        <v>1168.9000000000001</v>
      </c>
      <c r="D6" s="119">
        <v>4189665</v>
      </c>
      <c r="E6" s="121">
        <f t="shared" ref="E6:E14" si="0">B6*C6/1000</f>
        <v>4189606.4470000006</v>
      </c>
      <c r="F6" s="122">
        <f t="shared" ref="F6:F14" si="1">E6/D6-1</f>
        <v>-1.3975580386293984E-5</v>
      </c>
    </row>
    <row r="7" spans="1:7">
      <c r="A7" s="118">
        <v>2016</v>
      </c>
      <c r="B7" s="119">
        <v>4017586</v>
      </c>
      <c r="C7" s="120">
        <v>1136.8</v>
      </c>
      <c r="D7" s="119">
        <v>4567066</v>
      </c>
      <c r="E7" s="121">
        <f t="shared" si="0"/>
        <v>4567191.7648</v>
      </c>
      <c r="F7" s="122">
        <f t="shared" si="1"/>
        <v>2.7537329217564022E-5</v>
      </c>
    </row>
    <row r="8" spans="1:7">
      <c r="A8" s="118">
        <v>2017</v>
      </c>
      <c r="B8" s="119">
        <v>4026919</v>
      </c>
      <c r="C8" s="120">
        <v>1009</v>
      </c>
      <c r="D8" s="119">
        <v>4063197</v>
      </c>
      <c r="E8" s="121">
        <f t="shared" si="0"/>
        <v>4063161.2710000002</v>
      </c>
      <c r="F8" s="122">
        <f t="shared" si="1"/>
        <v>-8.7933221056823996E-6</v>
      </c>
    </row>
    <row r="9" spans="1:7">
      <c r="A9" s="118">
        <v>2018</v>
      </c>
      <c r="B9" s="119">
        <v>4495792</v>
      </c>
      <c r="C9" s="120">
        <v>1152.3</v>
      </c>
      <c r="D9" s="119">
        <v>5180702</v>
      </c>
      <c r="E9" s="121">
        <f t="shared" si="0"/>
        <v>5180501.1215999993</v>
      </c>
      <c r="F9" s="122">
        <f t="shared" si="1"/>
        <v>-3.8774359150672844E-5</v>
      </c>
    </row>
    <row r="10" spans="1:7">
      <c r="A10" s="118">
        <v>2019</v>
      </c>
      <c r="B10" s="119">
        <v>4272786</v>
      </c>
      <c r="C10" s="120">
        <v>1156.0999999999999</v>
      </c>
      <c r="D10" s="119">
        <v>4939630</v>
      </c>
      <c r="E10" s="121">
        <f t="shared" si="0"/>
        <v>4939767.8945999993</v>
      </c>
      <c r="F10" s="122">
        <f t="shared" si="1"/>
        <v>2.7915977512282808E-5</v>
      </c>
    </row>
    <row r="11" spans="1:7">
      <c r="A11" s="118">
        <v>2020</v>
      </c>
      <c r="B11" s="119">
        <v>4104826</v>
      </c>
      <c r="C11" s="120">
        <v>1261.7</v>
      </c>
      <c r="D11" s="119">
        <v>5179104</v>
      </c>
      <c r="E11" s="121">
        <f t="shared" si="0"/>
        <v>5179058.9641999993</v>
      </c>
      <c r="F11" s="122">
        <f t="shared" si="1"/>
        <v>-8.6956740008581335E-6</v>
      </c>
    </row>
    <row r="12" spans="1:7">
      <c r="A12" s="118">
        <v>2021</v>
      </c>
      <c r="B12" s="119">
        <v>4254016</v>
      </c>
      <c r="C12" s="120">
        <v>1095.7</v>
      </c>
      <c r="D12" s="119">
        <v>4661140</v>
      </c>
      <c r="E12" s="121">
        <f t="shared" si="0"/>
        <v>4661125.3311999999</v>
      </c>
      <c r="F12" s="122">
        <f t="shared" si="1"/>
        <v>-3.1470412817924398E-6</v>
      </c>
    </row>
    <row r="13" spans="1:7">
      <c r="A13" s="118">
        <v>2022</v>
      </c>
      <c r="B13" s="119">
        <v>4301063</v>
      </c>
      <c r="C13" s="120">
        <v>1204.0999999999999</v>
      </c>
      <c r="D13" s="119">
        <v>5179059</v>
      </c>
      <c r="E13" s="121">
        <f t="shared" si="0"/>
        <v>5178909.9582999991</v>
      </c>
      <c r="F13" s="122">
        <f t="shared" si="1"/>
        <v>-2.8777756731601656E-5</v>
      </c>
    </row>
    <row r="14" spans="1:7">
      <c r="A14" s="118">
        <v>2023</v>
      </c>
      <c r="B14" s="119">
        <v>4215867</v>
      </c>
      <c r="C14" s="120">
        <v>1221.0999999999999</v>
      </c>
      <c r="D14" s="119">
        <v>5147924</v>
      </c>
      <c r="E14" s="121">
        <f t="shared" si="0"/>
        <v>5147995.1936999997</v>
      </c>
      <c r="F14" s="122">
        <f t="shared" si="1"/>
        <v>1.3829594220915453E-5</v>
      </c>
    </row>
    <row r="15" spans="1:7">
      <c r="A15" s="98" t="s">
        <v>299</v>
      </c>
      <c r="B15" s="123">
        <f>AVERAGE(B10:B14)</f>
        <v>4229711.5999999996</v>
      </c>
      <c r="C15" s="124">
        <f>AVERAGE(C10:C14)</f>
        <v>1187.7400000000002</v>
      </c>
      <c r="D15" s="123">
        <f>AVERAGE(D10:D14)</f>
        <v>5021371.4000000004</v>
      </c>
      <c r="E15" s="123">
        <f>AVERAGE(E10:E14)</f>
        <v>5021371.4683999997</v>
      </c>
      <c r="G15" s="117" t="s">
        <v>300</v>
      </c>
    </row>
    <row r="17" spans="1:7">
      <c r="A17" s="98" t="s">
        <v>301</v>
      </c>
    </row>
    <row r="18" spans="1:7">
      <c r="A18" s="98" t="s">
        <v>257</v>
      </c>
      <c r="B18" s="98" t="s">
        <v>82</v>
      </c>
      <c r="G18" s="98" t="s">
        <v>84</v>
      </c>
    </row>
    <row r="19" spans="1:7">
      <c r="A19" s="105" t="s">
        <v>302</v>
      </c>
      <c r="B19" s="125">
        <f>ROUND(B15/1000000,2)</f>
        <v>4.2300000000000004</v>
      </c>
      <c r="G19" s="117" t="s">
        <v>303</v>
      </c>
    </row>
    <row r="20" spans="1:7">
      <c r="A20" s="105" t="s">
        <v>264</v>
      </c>
      <c r="B20" s="125">
        <f>ROUND(C15/1000,2)</f>
        <v>1.19</v>
      </c>
      <c r="G20" s="117" t="s">
        <v>304</v>
      </c>
    </row>
    <row r="21" spans="1:7">
      <c r="A21" s="105" t="s">
        <v>265</v>
      </c>
      <c r="B21" s="125">
        <f>FoodSecurity_Land!B10</f>
        <v>6</v>
      </c>
      <c r="G21" s="117" t="s">
        <v>266</v>
      </c>
    </row>
    <row r="22" spans="1:7">
      <c r="A22" s="105" t="s">
        <v>305</v>
      </c>
      <c r="B22" s="125">
        <f>FoodSecurity_Land!B11</f>
        <v>4.97</v>
      </c>
      <c r="G22" s="117" t="s">
        <v>306</v>
      </c>
    </row>
    <row r="23" spans="1:7">
      <c r="A23" s="105" t="s">
        <v>307</v>
      </c>
      <c r="B23" s="126">
        <f>B21/B22</f>
        <v>1.2072434607645877</v>
      </c>
      <c r="G23" s="117" t="s">
        <v>308</v>
      </c>
    </row>
    <row r="24" spans="1:7">
      <c r="A24" s="105" t="s">
        <v>309</v>
      </c>
      <c r="B24" s="126">
        <f>B19*B22/B21</f>
        <v>3.5038499999999999</v>
      </c>
      <c r="G24" s="117" t="s">
        <v>310</v>
      </c>
    </row>
    <row r="25" spans="1:7">
      <c r="A25" s="105" t="s">
        <v>311</v>
      </c>
      <c r="B25" s="127">
        <v>1.44</v>
      </c>
      <c r="G25" s="117" t="s">
        <v>312</v>
      </c>
    </row>
    <row r="27" spans="1:7">
      <c r="A27" s="98" t="s">
        <v>313</v>
      </c>
    </row>
    <row r="28" spans="1:7">
      <c r="A28" s="98" t="s">
        <v>271</v>
      </c>
      <c r="B28" s="128">
        <v>2025</v>
      </c>
      <c r="C28" s="128">
        <v>2050</v>
      </c>
      <c r="D28" s="128">
        <v>2075</v>
      </c>
      <c r="E28" s="128">
        <v>2100</v>
      </c>
    </row>
    <row r="29" spans="1:7">
      <c r="A29" s="105" t="s">
        <v>272</v>
      </c>
      <c r="B29" s="125">
        <f>FoodSecurity_Land!B18</f>
        <v>4.489919594338236</v>
      </c>
      <c r="C29" s="125">
        <f>FoodSecurity_Land!C18</f>
        <v>6.957090780776471</v>
      </c>
      <c r="D29" s="125">
        <f>FoodSecurity_Land!D18</f>
        <v>8.7213540980117639</v>
      </c>
      <c r="E29" s="125">
        <f>FoodSecurity_Land!E18</f>
        <v>9.2961384049588247</v>
      </c>
    </row>
    <row r="30" spans="1:7">
      <c r="A30" s="105" t="s">
        <v>273</v>
      </c>
      <c r="B30" s="125">
        <f>B29/$B$20</f>
        <v>3.773041675914484</v>
      </c>
      <c r="C30" s="125">
        <f>C29/$B$20</f>
        <v>5.8462947737617403</v>
      </c>
      <c r="D30" s="125">
        <f>D29/$B$20</f>
        <v>7.3288689899258523</v>
      </c>
      <c r="E30" s="125">
        <f>E29/$B$20</f>
        <v>7.8118810125704412</v>
      </c>
    </row>
    <row r="31" spans="1:7">
      <c r="A31" s="105" t="s">
        <v>314</v>
      </c>
      <c r="B31" s="129">
        <f>B30/$B$19</f>
        <v>0.89197202740295123</v>
      </c>
      <c r="C31" s="129">
        <f>C30/$B$19</f>
        <v>1.3821027833952104</v>
      </c>
      <c r="D31" s="129">
        <f>D30/$B$19</f>
        <v>1.7325931418264424</v>
      </c>
      <c r="E31" s="129">
        <f>E30/$B$19</f>
        <v>1.8467803812223262</v>
      </c>
    </row>
    <row r="32" spans="1:7">
      <c r="A32" s="105" t="s">
        <v>315</v>
      </c>
      <c r="B32" s="129">
        <f>B30/$B$24</f>
        <v>1.0768273972671445</v>
      </c>
      <c r="C32" s="129">
        <f>C30/$B$24</f>
        <v>1.668534547358403</v>
      </c>
      <c r="D32" s="129">
        <f>D30/$B$24</f>
        <v>2.0916617406355447</v>
      </c>
      <c r="E32" s="129">
        <f>E30/$B$24</f>
        <v>2.2295135386989857</v>
      </c>
    </row>
    <row r="33" spans="1:5">
      <c r="A33" s="105" t="s">
        <v>316</v>
      </c>
      <c r="B33" s="125">
        <f>B29/$B$24</f>
        <v>1.2814246027479019</v>
      </c>
      <c r="C33" s="125">
        <f>C29/$B$24</f>
        <v>1.9855561113564997</v>
      </c>
      <c r="D33" s="125">
        <f>D29/$B$24</f>
        <v>2.489077471356298</v>
      </c>
      <c r="E33" s="125">
        <f>E29/$B$24</f>
        <v>2.6531211110517932</v>
      </c>
    </row>
    <row r="34" spans="1:5">
      <c r="A34" s="105" t="s">
        <v>276</v>
      </c>
      <c r="B34" s="125">
        <f>B29/$B$22</f>
        <v>0.90340434493727084</v>
      </c>
      <c r="C34" s="125">
        <f>C29/$B$22</f>
        <v>1.3998170585063323</v>
      </c>
      <c r="D34" s="125">
        <f>D29/$B$22</f>
        <v>1.7547996173061899</v>
      </c>
      <c r="E34" s="125">
        <f>E29/$B$22</f>
        <v>1.870450383291514</v>
      </c>
    </row>
    <row r="36" spans="1:5">
      <c r="A36" s="98" t="s">
        <v>277</v>
      </c>
      <c r="B36" s="128">
        <v>2025</v>
      </c>
      <c r="C36" s="128">
        <v>2050</v>
      </c>
      <c r="D36" s="128">
        <v>2075</v>
      </c>
      <c r="E36" s="128">
        <v>2100</v>
      </c>
    </row>
    <row r="37" spans="1:5">
      <c r="A37" s="105" t="s">
        <v>272</v>
      </c>
      <c r="B37" s="125">
        <f>FoodSecurity_Land!B25</f>
        <v>4.7393595718014705</v>
      </c>
      <c r="C37" s="125">
        <f>FoodSecurity_Land!C25</f>
        <v>7.3435958241529411</v>
      </c>
      <c r="D37" s="125">
        <f>FoodSecurity_Land!D25</f>
        <v>9.2058737701235298</v>
      </c>
      <c r="E37" s="125">
        <f>FoodSecurity_Land!E25</f>
        <v>9.8125905385676475</v>
      </c>
    </row>
    <row r="38" spans="1:5">
      <c r="A38" s="105" t="s">
        <v>273</v>
      </c>
      <c r="B38" s="125">
        <f>B37/$B$20</f>
        <v>3.982655102354177</v>
      </c>
      <c r="C38" s="125">
        <f>C37/$B$20</f>
        <v>6.171088927859615</v>
      </c>
      <c r="D38" s="125">
        <f>D37/$B$20</f>
        <v>7.7360283782550674</v>
      </c>
      <c r="E38" s="125">
        <f>E37/$B$20</f>
        <v>8.2458744021576873</v>
      </c>
    </row>
    <row r="39" spans="1:5">
      <c r="A39" s="105" t="s">
        <v>314</v>
      </c>
      <c r="B39" s="129">
        <f>B38/$B$19</f>
        <v>0.94152602892533721</v>
      </c>
      <c r="C39" s="129">
        <f>C38/$B$19</f>
        <v>1.4588862713616109</v>
      </c>
      <c r="D39" s="129">
        <f>D38/$B$19</f>
        <v>1.8288483163723561</v>
      </c>
      <c r="E39" s="129">
        <f>E38/$B$19</f>
        <v>1.9493792912902332</v>
      </c>
    </row>
    <row r="40" spans="1:5">
      <c r="A40" s="105" t="s">
        <v>315</v>
      </c>
      <c r="B40" s="129">
        <f>B38/$B$24</f>
        <v>1.1366511415597633</v>
      </c>
      <c r="C40" s="129">
        <f>C38/$B$24</f>
        <v>1.7612309111005366</v>
      </c>
      <c r="D40" s="129">
        <f>D38/$B$24</f>
        <v>2.207865170670853</v>
      </c>
      <c r="E40" s="129">
        <f>E38/$B$24</f>
        <v>2.3533754019600406</v>
      </c>
    </row>
    <row r="41" spans="1:5">
      <c r="A41" s="105" t="s">
        <v>316</v>
      </c>
      <c r="B41" s="125">
        <f>B37/$B$24</f>
        <v>1.3526148584561184</v>
      </c>
      <c r="C41" s="125">
        <f>C37/$B$24</f>
        <v>2.0958647842096383</v>
      </c>
      <c r="D41" s="125">
        <f>D37/$B$24</f>
        <v>2.6273595530983149</v>
      </c>
      <c r="E41" s="125">
        <f>E37/$B$24</f>
        <v>2.8005167283324481</v>
      </c>
    </row>
    <row r="42" spans="1:5">
      <c r="A42" s="105" t="s">
        <v>276</v>
      </c>
      <c r="B42" s="125">
        <f>B37/$B$22</f>
        <v>0.95359347521156357</v>
      </c>
      <c r="C42" s="125">
        <f>C37/$B$22</f>
        <v>1.477584672867795</v>
      </c>
      <c r="D42" s="125">
        <f>D37/$B$22</f>
        <v>1.852288484934312</v>
      </c>
      <c r="E42" s="125">
        <f>E37/$B$22</f>
        <v>1.9743642934743759</v>
      </c>
    </row>
    <row r="44" spans="1:5">
      <c r="A44" s="98" t="s">
        <v>278</v>
      </c>
      <c r="B44" s="128">
        <v>2025</v>
      </c>
      <c r="C44" s="128">
        <v>2050</v>
      </c>
      <c r="D44" s="128">
        <v>2075</v>
      </c>
      <c r="E44" s="128">
        <v>2100</v>
      </c>
    </row>
    <row r="45" spans="1:5">
      <c r="A45" s="105" t="s">
        <v>272</v>
      </c>
      <c r="B45" s="125">
        <f>FoodSecurity_Land!B32</f>
        <v>4.9887995492647059</v>
      </c>
      <c r="C45" s="125">
        <f>FoodSecurity_Land!C32</f>
        <v>7.7301008675294112</v>
      </c>
      <c r="D45" s="125">
        <f>FoodSecurity_Land!D32</f>
        <v>9.690393442235294</v>
      </c>
      <c r="E45" s="125">
        <f>FoodSecurity_Land!E32</f>
        <v>10.32904267217647</v>
      </c>
    </row>
    <row r="46" spans="1:5">
      <c r="A46" s="105" t="s">
        <v>273</v>
      </c>
      <c r="B46" s="125">
        <f>B45/$B$20</f>
        <v>4.1922685287938704</v>
      </c>
      <c r="C46" s="125">
        <f>C45/$B$20</f>
        <v>6.4958830819574889</v>
      </c>
      <c r="D46" s="125">
        <f>D45/$B$20</f>
        <v>8.1431877665842816</v>
      </c>
      <c r="E46" s="125">
        <f>E45/$B$20</f>
        <v>8.6798677917449343</v>
      </c>
    </row>
    <row r="47" spans="1:5">
      <c r="A47" s="105" t="s">
        <v>314</v>
      </c>
      <c r="B47" s="129">
        <f>B46/$B$19</f>
        <v>0.99108003044772341</v>
      </c>
      <c r="C47" s="129">
        <f>C46/$B$19</f>
        <v>1.5356697593280113</v>
      </c>
      <c r="D47" s="129">
        <f>D46/$B$19</f>
        <v>1.9251034909182696</v>
      </c>
      <c r="E47" s="129">
        <f>E46/$B$19</f>
        <v>2.0519782013581405</v>
      </c>
    </row>
    <row r="48" spans="1:5">
      <c r="A48" s="105" t="s">
        <v>315</v>
      </c>
      <c r="B48" s="129">
        <f>B46/$B$24</f>
        <v>1.1964748858523826</v>
      </c>
      <c r="C48" s="129">
        <f>C46/$B$24</f>
        <v>1.8539272748426698</v>
      </c>
      <c r="D48" s="129">
        <f>D46/$B$24</f>
        <v>2.3240686007061608</v>
      </c>
      <c r="E48" s="129">
        <f>E46/$B$24</f>
        <v>2.4772372652210954</v>
      </c>
    </row>
    <row r="49" spans="1:9">
      <c r="A49" s="105" t="s">
        <v>316</v>
      </c>
      <c r="B49" s="125">
        <f>B45/$B$24</f>
        <v>1.4238051141643353</v>
      </c>
      <c r="C49" s="125">
        <f>C45/$B$24</f>
        <v>2.2061734570627771</v>
      </c>
      <c r="D49" s="125">
        <f>D45/$B$24</f>
        <v>2.765641634840331</v>
      </c>
      <c r="E49" s="125">
        <f>E45/$B$24</f>
        <v>2.9479123456131031</v>
      </c>
    </row>
    <row r="50" spans="1:9">
      <c r="A50" s="105" t="s">
        <v>276</v>
      </c>
      <c r="B50" s="125">
        <f>B45/$B$22</f>
        <v>1.0037826054858563</v>
      </c>
      <c r="C50" s="125">
        <f>C45/$B$22</f>
        <v>1.5553522872292578</v>
      </c>
      <c r="D50" s="125">
        <f>D45/$B$22</f>
        <v>1.9497773525624336</v>
      </c>
      <c r="E50" s="125">
        <f>E45/$B$22</f>
        <v>2.0782782036572378</v>
      </c>
    </row>
    <row r="52" spans="1:9">
      <c r="A52" s="98" t="s">
        <v>317</v>
      </c>
    </row>
    <row r="53" spans="1:9">
      <c r="A53" s="98" t="s">
        <v>280</v>
      </c>
      <c r="B53" s="128">
        <v>2025</v>
      </c>
      <c r="C53" s="128">
        <v>2050</v>
      </c>
      <c r="D53" s="128">
        <v>2075</v>
      </c>
      <c r="E53" s="128">
        <v>2100</v>
      </c>
    </row>
    <row r="54" spans="1:9">
      <c r="A54" s="105" t="s">
        <v>318</v>
      </c>
      <c r="B54" s="105" t="str">
        <f>TEXT(B32*100,"0")&amp;"–"&amp;TEXT(B48*100,"0")&amp;"%"</f>
        <v>108–120%</v>
      </c>
      <c r="C54" s="105" t="str">
        <f>TEXT(C32*100,"0")&amp;"–"&amp;TEXT(C48*100,"0")&amp;"%"</f>
        <v>167–185%</v>
      </c>
      <c r="D54" s="105" t="str">
        <f>TEXT(D32*100,"0")&amp;"–"&amp;TEXT(D48*100,"0")&amp;"%"</f>
        <v>209–232%</v>
      </c>
      <c r="E54" s="105" t="str">
        <f>TEXT(E32*100,"0")&amp;"–"&amp;TEXT(E48*100,"0")&amp;"%"</f>
        <v>223–248%</v>
      </c>
    </row>
    <row r="55" spans="1:9">
      <c r="A55" s="105" t="s">
        <v>319</v>
      </c>
      <c r="B55" s="105" t="str">
        <f t="shared" ref="B55:E56" si="2">TEXT(B33,"0.00")&amp;"–"&amp;TEXT(B49,"0.00")</f>
        <v>1.28–1.42</v>
      </c>
      <c r="C55" s="105" t="str">
        <f t="shared" si="2"/>
        <v>1.99–2.21</v>
      </c>
      <c r="D55" s="105" t="str">
        <f t="shared" si="2"/>
        <v>2.49–2.77</v>
      </c>
      <c r="E55" s="105" t="str">
        <f t="shared" si="2"/>
        <v>2.65–2.95</v>
      </c>
    </row>
    <row r="56" spans="1:9">
      <c r="A56" s="105" t="s">
        <v>320</v>
      </c>
      <c r="B56" s="105" t="str">
        <f t="shared" si="2"/>
        <v>0.90–1.00</v>
      </c>
      <c r="C56" s="105" t="str">
        <f t="shared" si="2"/>
        <v>1.40–1.56</v>
      </c>
      <c r="D56" s="105" t="str">
        <f t="shared" si="2"/>
        <v>1.75–1.95</v>
      </c>
      <c r="E56" s="105" t="str">
        <f t="shared" si="2"/>
        <v>1.87–2.08</v>
      </c>
    </row>
    <row r="57" spans="1:9">
      <c r="A57" s="105" t="s">
        <v>321</v>
      </c>
      <c r="B57" s="122">
        <f>(E41/B20)^(1/75)-1</f>
        <v>1.1476699582830152E-2</v>
      </c>
      <c r="G57" s="117" t="s">
        <v>322</v>
      </c>
    </row>
    <row r="59" spans="1:9">
      <c r="A59" s="98" t="s">
        <v>323</v>
      </c>
    </row>
    <row r="60" spans="1:9" ht="48">
      <c r="A60" s="130" t="s">
        <v>324</v>
      </c>
      <c r="B60" s="130" t="s">
        <v>325</v>
      </c>
      <c r="C60" s="130" t="s">
        <v>326</v>
      </c>
      <c r="D60" s="130" t="s">
        <v>327</v>
      </c>
      <c r="E60" s="130" t="s">
        <v>328</v>
      </c>
      <c r="F60" s="130" t="s">
        <v>329</v>
      </c>
      <c r="G60" s="130" t="s">
        <v>330</v>
      </c>
      <c r="H60" s="130" t="s">
        <v>331</v>
      </c>
      <c r="I60" s="130" t="s">
        <v>332</v>
      </c>
    </row>
    <row r="61" spans="1:9">
      <c r="A61" s="105" t="s">
        <v>333</v>
      </c>
      <c r="B61" s="125">
        <f>$B$19</f>
        <v>4.2300000000000004</v>
      </c>
      <c r="C61" s="125">
        <f>$B$20</f>
        <v>1.19</v>
      </c>
      <c r="D61" s="125">
        <f t="shared" ref="D61:D66" si="3">B61*$B$22/$B$21</f>
        <v>3.5038499999999999</v>
      </c>
      <c r="E61" s="129">
        <f t="shared" ref="E61:E67" si="4">($B$37/C61)/D61</f>
        <v>1.1366511415597633</v>
      </c>
      <c r="F61" s="129">
        <f t="shared" ref="F61:F67" si="5">($C$37/C61)/D61</f>
        <v>1.7612309111005366</v>
      </c>
      <c r="G61" s="129">
        <f t="shared" ref="G61:G67" si="6">($E$37/C61)/D61</f>
        <v>2.3533754019600406</v>
      </c>
      <c r="H61" s="125">
        <f t="shared" ref="H61:H67" si="7">$B$37/D61</f>
        <v>1.3526148584561184</v>
      </c>
      <c r="I61" s="125">
        <f t="shared" ref="I61:I67" si="8">$E$37/D61</f>
        <v>2.8005167283324481</v>
      </c>
    </row>
    <row r="62" spans="1:9">
      <c r="A62" s="105" t="s">
        <v>334</v>
      </c>
      <c r="B62" s="125">
        <f>$B$19</f>
        <v>4.2300000000000004</v>
      </c>
      <c r="C62" s="125">
        <f>$B$25</f>
        <v>1.44</v>
      </c>
      <c r="D62" s="125">
        <f t="shared" si="3"/>
        <v>3.5038499999999999</v>
      </c>
      <c r="E62" s="129">
        <f t="shared" si="4"/>
        <v>0.93931587392786009</v>
      </c>
      <c r="F62" s="129">
        <f t="shared" si="5"/>
        <v>1.4554616557011379</v>
      </c>
      <c r="G62" s="129">
        <f t="shared" si="6"/>
        <v>1.9448032835642</v>
      </c>
      <c r="H62" s="125">
        <f t="shared" si="7"/>
        <v>1.3526148584561184</v>
      </c>
      <c r="I62" s="125">
        <f t="shared" si="8"/>
        <v>2.8005167283324481</v>
      </c>
    </row>
    <row r="63" spans="1:9">
      <c r="A63" s="105" t="s">
        <v>335</v>
      </c>
      <c r="B63" s="125">
        <f>$B$19</f>
        <v>4.2300000000000004</v>
      </c>
      <c r="C63" s="125">
        <f>C12/1000</f>
        <v>1.0957000000000001</v>
      </c>
      <c r="D63" s="125">
        <f t="shared" si="3"/>
        <v>3.5038499999999999</v>
      </c>
      <c r="E63" s="129">
        <f t="shared" si="4"/>
        <v>1.2344755484677541</v>
      </c>
      <c r="F63" s="129">
        <f t="shared" si="5"/>
        <v>1.9128089661491634</v>
      </c>
      <c r="G63" s="129">
        <f t="shared" si="6"/>
        <v>2.5559156049397167</v>
      </c>
      <c r="H63" s="125">
        <f t="shared" si="7"/>
        <v>1.3526148584561184</v>
      </c>
      <c r="I63" s="125">
        <f t="shared" si="8"/>
        <v>2.8005167283324481</v>
      </c>
    </row>
    <row r="64" spans="1:9">
      <c r="A64" s="105" t="s">
        <v>336</v>
      </c>
      <c r="B64" s="125">
        <f>$B$19</f>
        <v>4.2300000000000004</v>
      </c>
      <c r="C64" s="125">
        <f>C11/1000</f>
        <v>1.2617</v>
      </c>
      <c r="D64" s="125">
        <f t="shared" si="3"/>
        <v>3.5038499999999999</v>
      </c>
      <c r="E64" s="129">
        <f t="shared" si="4"/>
        <v>1.0720574292273268</v>
      </c>
      <c r="F64" s="129">
        <f t="shared" si="5"/>
        <v>1.6611435239832275</v>
      </c>
      <c r="G64" s="129">
        <f t="shared" si="6"/>
        <v>2.2196375749642927</v>
      </c>
      <c r="H64" s="125">
        <f t="shared" si="7"/>
        <v>1.3526148584561184</v>
      </c>
      <c r="I64" s="125">
        <f t="shared" si="8"/>
        <v>2.8005167283324481</v>
      </c>
    </row>
    <row r="65" spans="1:9">
      <c r="A65" s="105" t="s">
        <v>337</v>
      </c>
      <c r="B65" s="125">
        <f>B11/1000000</f>
        <v>4.1048260000000001</v>
      </c>
      <c r="C65" s="125">
        <f>$B$20</f>
        <v>1.19</v>
      </c>
      <c r="D65" s="125">
        <f t="shared" si="3"/>
        <v>3.400164203333333</v>
      </c>
      <c r="E65" s="129">
        <f t="shared" si="4"/>
        <v>1.1713125790953867</v>
      </c>
      <c r="F65" s="129">
        <f t="shared" si="5"/>
        <v>1.814938502619909</v>
      </c>
      <c r="G65" s="129">
        <f t="shared" si="6"/>
        <v>2.4251400547285002</v>
      </c>
      <c r="H65" s="125">
        <f t="shared" si="7"/>
        <v>1.3938619691235101</v>
      </c>
      <c r="I65" s="125">
        <f t="shared" si="8"/>
        <v>2.8859166651269152</v>
      </c>
    </row>
    <row r="66" spans="1:9">
      <c r="A66" s="105" t="s">
        <v>338</v>
      </c>
      <c r="B66" s="125">
        <f>B13/1000000</f>
        <v>4.3010630000000001</v>
      </c>
      <c r="C66" s="125">
        <f>$B$20</f>
        <v>1.19</v>
      </c>
      <c r="D66" s="125">
        <f t="shared" si="3"/>
        <v>3.5627138516666665</v>
      </c>
      <c r="E66" s="129">
        <f t="shared" si="4"/>
        <v>1.1178711701730013</v>
      </c>
      <c r="F66" s="129">
        <f t="shared" si="5"/>
        <v>1.732131511199736</v>
      </c>
      <c r="G66" s="129">
        <f t="shared" si="6"/>
        <v>2.314492475532437</v>
      </c>
      <c r="H66" s="125">
        <f t="shared" si="7"/>
        <v>1.3302666925058715</v>
      </c>
      <c r="I66" s="125">
        <f t="shared" si="8"/>
        <v>2.7542460458836002</v>
      </c>
    </row>
    <row r="67" spans="1:9">
      <c r="A67" s="105" t="s">
        <v>339</v>
      </c>
      <c r="B67" s="105" t="s">
        <v>170</v>
      </c>
      <c r="C67" s="125">
        <f>$B$20</f>
        <v>1.19</v>
      </c>
      <c r="D67" s="125">
        <f>$B$22</f>
        <v>4.97</v>
      </c>
      <c r="E67" s="129">
        <f t="shared" si="4"/>
        <v>0.80133905479963319</v>
      </c>
      <c r="F67" s="129">
        <f t="shared" si="5"/>
        <v>1.2416677923258783</v>
      </c>
      <c r="G67" s="129">
        <f t="shared" si="6"/>
        <v>1.6591296583818285</v>
      </c>
      <c r="H67" s="125">
        <f t="shared" si="7"/>
        <v>0.95359347521156357</v>
      </c>
      <c r="I67" s="125">
        <f t="shared" si="8"/>
        <v>1.9743642934743759</v>
      </c>
    </row>
    <row r="70" spans="1:9">
      <c r="A70" s="98" t="s">
        <v>340</v>
      </c>
    </row>
    <row r="71" spans="1:9">
      <c r="A71" s="117" t="s">
        <v>341</v>
      </c>
    </row>
    <row r="72" spans="1:9">
      <c r="A72" s="98" t="s">
        <v>342</v>
      </c>
      <c r="B72" s="98" t="s">
        <v>75</v>
      </c>
      <c r="C72" s="98" t="s">
        <v>343</v>
      </c>
      <c r="D72" s="98" t="s">
        <v>344</v>
      </c>
      <c r="E72" s="98" t="s">
        <v>345</v>
      </c>
      <c r="F72" s="98" t="s">
        <v>346</v>
      </c>
    </row>
    <row r="73" spans="1:9">
      <c r="A73" s="105" t="s">
        <v>347</v>
      </c>
      <c r="B73" s="131">
        <v>2025</v>
      </c>
      <c r="C73" s="127">
        <v>1.08</v>
      </c>
      <c r="D73" s="127">
        <v>0.98</v>
      </c>
      <c r="E73" s="127">
        <v>1.2</v>
      </c>
      <c r="F73" s="127">
        <v>0.87150000000000005</v>
      </c>
    </row>
    <row r="74" spans="1:9">
      <c r="A74" s="105" t="s">
        <v>347</v>
      </c>
      <c r="B74" s="131">
        <v>2050</v>
      </c>
      <c r="C74" s="127">
        <v>1.67</v>
      </c>
      <c r="D74" s="127">
        <v>1.51</v>
      </c>
      <c r="E74" s="127">
        <v>1.86</v>
      </c>
      <c r="F74" s="127">
        <v>1</v>
      </c>
    </row>
    <row r="75" spans="1:9">
      <c r="A75" s="105" t="s">
        <v>347</v>
      </c>
      <c r="B75" s="131">
        <v>2075</v>
      </c>
      <c r="C75" s="127">
        <v>2.09</v>
      </c>
      <c r="D75" s="127">
        <v>1.9</v>
      </c>
      <c r="E75" s="127">
        <v>2.33</v>
      </c>
      <c r="F75" s="127">
        <v>1</v>
      </c>
    </row>
    <row r="76" spans="1:9">
      <c r="A76" s="105" t="s">
        <v>347</v>
      </c>
      <c r="B76" s="131">
        <v>2100</v>
      </c>
      <c r="C76" s="127">
        <v>2.23</v>
      </c>
      <c r="D76" s="127">
        <v>2.02</v>
      </c>
      <c r="E76" s="127">
        <v>2.4900000000000002</v>
      </c>
      <c r="F76" s="127">
        <v>1</v>
      </c>
    </row>
    <row r="77" spans="1:9">
      <c r="A77" s="105" t="s">
        <v>348</v>
      </c>
      <c r="B77" s="131">
        <v>2025</v>
      </c>
      <c r="C77" s="127">
        <v>1.1399999999999999</v>
      </c>
      <c r="D77" s="127">
        <v>1.03</v>
      </c>
      <c r="E77" s="127">
        <v>1.27</v>
      </c>
      <c r="F77" s="127">
        <v>0.99150000000000005</v>
      </c>
    </row>
    <row r="78" spans="1:9">
      <c r="A78" s="105" t="s">
        <v>348</v>
      </c>
      <c r="B78" s="131">
        <v>2050</v>
      </c>
      <c r="C78" s="127">
        <v>1.76</v>
      </c>
      <c r="D78" s="127">
        <v>1.6</v>
      </c>
      <c r="E78" s="127">
        <v>1.96</v>
      </c>
      <c r="F78" s="127">
        <v>1</v>
      </c>
    </row>
    <row r="79" spans="1:9">
      <c r="A79" s="105" t="s">
        <v>348</v>
      </c>
      <c r="B79" s="131">
        <v>2075</v>
      </c>
      <c r="C79" s="127">
        <v>2.21</v>
      </c>
      <c r="D79" s="127">
        <v>2</v>
      </c>
      <c r="E79" s="127">
        <v>2.46</v>
      </c>
      <c r="F79" s="127">
        <v>1</v>
      </c>
    </row>
    <row r="80" spans="1:9">
      <c r="A80" s="105" t="s">
        <v>348</v>
      </c>
      <c r="B80" s="131">
        <v>2100</v>
      </c>
      <c r="C80" s="127">
        <v>2.35</v>
      </c>
      <c r="D80" s="127">
        <v>2.13</v>
      </c>
      <c r="E80" s="127">
        <v>2.62</v>
      </c>
      <c r="F80" s="127">
        <v>1</v>
      </c>
    </row>
    <row r="81" spans="1:6">
      <c r="A81" s="105" t="s">
        <v>349</v>
      </c>
      <c r="B81" s="131">
        <v>2025</v>
      </c>
      <c r="C81" s="127">
        <v>1.2</v>
      </c>
      <c r="D81" s="127">
        <v>1.08</v>
      </c>
      <c r="E81" s="127">
        <v>1.33</v>
      </c>
      <c r="F81" s="127">
        <v>1</v>
      </c>
    </row>
    <row r="82" spans="1:6">
      <c r="A82" s="105" t="s">
        <v>349</v>
      </c>
      <c r="B82" s="131">
        <v>2050</v>
      </c>
      <c r="C82" s="127">
        <v>1.85</v>
      </c>
      <c r="D82" s="127">
        <v>1.68</v>
      </c>
      <c r="E82" s="127">
        <v>2.0699999999999998</v>
      </c>
      <c r="F82" s="127">
        <v>1</v>
      </c>
    </row>
    <row r="83" spans="1:6">
      <c r="A83" s="105" t="s">
        <v>349</v>
      </c>
      <c r="B83" s="131">
        <v>2075</v>
      </c>
      <c r="C83" s="127">
        <v>2.3199999999999998</v>
      </c>
      <c r="D83" s="127">
        <v>2.11</v>
      </c>
      <c r="E83" s="127">
        <v>2.59</v>
      </c>
      <c r="F83" s="127">
        <v>1</v>
      </c>
    </row>
    <row r="84" spans="1:6">
      <c r="A84" s="105" t="s">
        <v>349</v>
      </c>
      <c r="B84" s="131">
        <v>2100</v>
      </c>
      <c r="C84" s="127">
        <v>2.48</v>
      </c>
      <c r="D84" s="127">
        <v>2.2400000000000002</v>
      </c>
      <c r="E84" s="127">
        <v>2.76</v>
      </c>
      <c r="F84" s="127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3"/>
  <sheetViews>
    <sheetView topLeftCell="A61" zoomScaleNormal="100" workbookViewId="0">
      <selection activeCell="H27" sqref="H27"/>
    </sheetView>
  </sheetViews>
  <sheetFormatPr defaultColWidth="8.453125" defaultRowHeight="17"/>
  <cols>
    <col min="1" max="1" width="26" style="1" customWidth="1"/>
    <col min="2" max="2" width="8" style="1" customWidth="1"/>
    <col min="3" max="5" width="11" style="1" customWidth="1"/>
    <col min="6" max="6" width="13" style="1" customWidth="1"/>
    <col min="7" max="7" width="3" style="1" customWidth="1"/>
    <col min="8" max="8" width="26" style="1" customWidth="1"/>
    <col min="9" max="9" width="8" style="1" customWidth="1"/>
    <col min="10" max="10" width="10" style="1" customWidth="1"/>
    <col min="11" max="11" width="22" style="1" customWidth="1"/>
    <col min="12" max="12" width="18" style="1" customWidth="1"/>
    <col min="13" max="13" width="20" style="1" customWidth="1"/>
  </cols>
  <sheetData>
    <row r="1" spans="1:13">
      <c r="A1" s="96" t="s">
        <v>350</v>
      </c>
    </row>
    <row r="2" spans="1:13">
      <c r="A2" s="106" t="s">
        <v>351</v>
      </c>
    </row>
    <row r="4" spans="1:13">
      <c r="A4" s="97" t="s">
        <v>352</v>
      </c>
      <c r="H4" s="97" t="s">
        <v>353</v>
      </c>
    </row>
    <row r="5" spans="1:13">
      <c r="A5" s="98" t="s">
        <v>173</v>
      </c>
      <c r="B5" s="98" t="s">
        <v>75</v>
      </c>
      <c r="C5" s="98" t="s">
        <v>343</v>
      </c>
      <c r="D5" s="98" t="s">
        <v>344</v>
      </c>
      <c r="E5" s="98" t="s">
        <v>345</v>
      </c>
      <c r="F5" s="98" t="s">
        <v>83</v>
      </c>
      <c r="H5" s="98" t="s">
        <v>173</v>
      </c>
      <c r="I5" s="98" t="s">
        <v>75</v>
      </c>
      <c r="J5" s="98" t="s">
        <v>354</v>
      </c>
      <c r="K5" s="98" t="s">
        <v>355</v>
      </c>
      <c r="L5" s="98" t="s">
        <v>356</v>
      </c>
      <c r="M5" s="98" t="s">
        <v>357</v>
      </c>
    </row>
    <row r="6" spans="1:13">
      <c r="A6" s="2" t="s">
        <v>358</v>
      </c>
      <c r="B6" s="2">
        <v>2025</v>
      </c>
      <c r="C6" s="114">
        <v>0.62</v>
      </c>
      <c r="D6" s="114">
        <v>0.59</v>
      </c>
      <c r="E6" s="114">
        <v>0.65</v>
      </c>
      <c r="F6" s="2" t="s">
        <v>359</v>
      </c>
      <c r="H6" s="2" t="s">
        <v>358</v>
      </c>
      <c r="I6" s="2">
        <v>2025</v>
      </c>
      <c r="J6" s="113">
        <f>Table4_DNF_DWF!G30</f>
        <v>4.4232711864406777</v>
      </c>
      <c r="K6" s="2" t="str">
        <f t="shared" ref="K6:K25" si="0">IF(J6&lt;1,"Below boundary (safe)",IF(J6&lt;=2,"Zone of uncertainty","High risk"))</f>
        <v>High risk</v>
      </c>
      <c r="L6" s="2" t="str">
        <f>IF(Table4_DNF_DWF!J30-Table4_DNF_DWF!G30&gt;1,"Rapidly deteriorating","Deteriorating")</f>
        <v>Rapidly deteriorating</v>
      </c>
      <c r="M6" s="2" t="str">
        <f t="shared" ref="M6:M25" si="1">IF(IF(J6&gt;1,F29,1-F29)&gt;=0.95,"High",IF(IF(J6&gt;1,F29,1-F29)&gt;=0.8,"Medium","Low"))</f>
        <v>High</v>
      </c>
    </row>
    <row r="7" spans="1:13">
      <c r="A7" s="2" t="s">
        <v>358</v>
      </c>
      <c r="B7" s="2">
        <v>2050</v>
      </c>
      <c r="C7" s="114">
        <v>0.4</v>
      </c>
      <c r="D7" s="114">
        <v>0.38</v>
      </c>
      <c r="E7" s="114">
        <v>0.42</v>
      </c>
      <c r="F7" s="2" t="s">
        <v>359</v>
      </c>
      <c r="H7" s="2" t="s">
        <v>358</v>
      </c>
      <c r="I7" s="2">
        <v>2050</v>
      </c>
      <c r="J7" s="113">
        <f>Table4_DNF_DWF!H30</f>
        <v>6.8538196610169493</v>
      </c>
      <c r="K7" s="2" t="str">
        <f t="shared" si="0"/>
        <v>High risk</v>
      </c>
      <c r="L7" s="2" t="str">
        <f>IF(Table4_DNF_DWF!J30-Table4_DNF_DWF!G30&gt;1,"Rapidly deteriorating","Deteriorating")</f>
        <v>Rapidly deteriorating</v>
      </c>
      <c r="M7" s="2" t="str">
        <f t="shared" si="1"/>
        <v>High</v>
      </c>
    </row>
    <row r="8" spans="1:13">
      <c r="A8" s="2" t="s">
        <v>358</v>
      </c>
      <c r="B8" s="2">
        <v>2075</v>
      </c>
      <c r="C8" s="114">
        <v>0.32</v>
      </c>
      <c r="D8" s="114">
        <v>0.3</v>
      </c>
      <c r="E8" s="114">
        <v>0.33</v>
      </c>
      <c r="F8" s="2" t="s">
        <v>359</v>
      </c>
      <c r="H8" s="2" t="s">
        <v>358</v>
      </c>
      <c r="I8" s="2">
        <v>2075</v>
      </c>
      <c r="J8" s="113">
        <f>Table4_DNF_DWF!I30</f>
        <v>8.5918942372881357</v>
      </c>
      <c r="K8" s="2" t="str">
        <f t="shared" si="0"/>
        <v>High risk</v>
      </c>
      <c r="L8" s="2" t="str">
        <f>IF(Table4_DNF_DWF!J30-Table4_DNF_DWF!G30&gt;1,"Rapidly deteriorating","Deteriorating")</f>
        <v>Rapidly deteriorating</v>
      </c>
      <c r="M8" s="2" t="str">
        <f t="shared" si="1"/>
        <v>High</v>
      </c>
    </row>
    <row r="9" spans="1:13">
      <c r="A9" s="2" t="s">
        <v>358</v>
      </c>
      <c r="B9" s="2">
        <v>2100</v>
      </c>
      <c r="C9" s="114">
        <v>0.3</v>
      </c>
      <c r="D9" s="114">
        <v>0.28000000000000003</v>
      </c>
      <c r="E9" s="114">
        <v>0.31</v>
      </c>
      <c r="F9" s="2" t="s">
        <v>359</v>
      </c>
      <c r="H9" s="2" t="s">
        <v>358</v>
      </c>
      <c r="I9" s="2">
        <v>2100</v>
      </c>
      <c r="J9" s="113">
        <f>Table4_DNF_DWF!J30</f>
        <v>9.1581464406779656</v>
      </c>
      <c r="K9" s="2" t="str">
        <f t="shared" si="0"/>
        <v>High risk</v>
      </c>
      <c r="L9" s="2" t="str">
        <f>IF(Table4_DNF_DWF!J30-Table4_DNF_DWF!G30&gt;1,"Rapidly deteriorating","Deteriorating")</f>
        <v>Rapidly deteriorating</v>
      </c>
      <c r="M9" s="2" t="str">
        <f t="shared" si="1"/>
        <v>High</v>
      </c>
    </row>
    <row r="10" spans="1:13">
      <c r="A10" s="2" t="s">
        <v>360</v>
      </c>
      <c r="B10" s="2">
        <v>2025</v>
      </c>
      <c r="C10" s="114">
        <v>2063</v>
      </c>
      <c r="D10" s="114">
        <v>1855</v>
      </c>
      <c r="E10" s="114">
        <v>2279</v>
      </c>
      <c r="F10" s="2" t="s">
        <v>361</v>
      </c>
      <c r="H10" s="2" t="s">
        <v>362</v>
      </c>
      <c r="I10" s="2">
        <v>2025</v>
      </c>
      <c r="J10" s="113">
        <f>Table4_DNF_DWF!G31</f>
        <v>3.3544194107452339</v>
      </c>
      <c r="K10" s="2" t="str">
        <f t="shared" si="0"/>
        <v>High risk</v>
      </c>
      <c r="L10" s="2" t="str">
        <f>IF(Table4_DNF_DWF!J31-Table4_DNF_DWF!G31&gt;1,"Rapidly deteriorating","Deteriorating")</f>
        <v>Rapidly deteriorating</v>
      </c>
      <c r="M10" s="2" t="str">
        <f t="shared" si="1"/>
        <v>High</v>
      </c>
    </row>
    <row r="11" spans="1:13">
      <c r="A11" s="2" t="s">
        <v>360</v>
      </c>
      <c r="B11" s="2">
        <v>2050</v>
      </c>
      <c r="C11" s="114">
        <v>1332</v>
      </c>
      <c r="D11" s="114">
        <v>1197</v>
      </c>
      <c r="E11" s="114">
        <v>1471</v>
      </c>
      <c r="F11" s="2" t="s">
        <v>361</v>
      </c>
      <c r="H11" s="2" t="s">
        <v>362</v>
      </c>
      <c r="I11" s="2">
        <v>2050</v>
      </c>
      <c r="J11" s="113">
        <f>Table4_DNF_DWF!H31</f>
        <v>5.1976432688864049</v>
      </c>
      <c r="K11" s="2" t="str">
        <f t="shared" si="0"/>
        <v>High risk</v>
      </c>
      <c r="L11" s="2" t="str">
        <f>IF(Table4_DNF_DWF!J31-Table4_DNF_DWF!G31&gt;1,"Rapidly deteriorating","Deteriorating")</f>
        <v>Rapidly deteriorating</v>
      </c>
      <c r="M11" s="2" t="str">
        <f t="shared" si="1"/>
        <v>High</v>
      </c>
    </row>
    <row r="12" spans="1:13">
      <c r="A12" s="2" t="s">
        <v>360</v>
      </c>
      <c r="B12" s="2">
        <v>2075</v>
      </c>
      <c r="C12" s="114">
        <v>1062</v>
      </c>
      <c r="D12" s="114">
        <v>955</v>
      </c>
      <c r="E12" s="114">
        <v>1173</v>
      </c>
      <c r="F12" s="2" t="s">
        <v>361</v>
      </c>
      <c r="H12" s="2" t="s">
        <v>362</v>
      </c>
      <c r="I12" s="2">
        <v>2075</v>
      </c>
      <c r="J12" s="113">
        <f>Table4_DNF_DWF!I31</f>
        <v>6.5157245825167234</v>
      </c>
      <c r="K12" s="2" t="str">
        <f t="shared" si="0"/>
        <v>High risk</v>
      </c>
      <c r="L12" s="2" t="str">
        <f>IF(Table4_DNF_DWF!J31-Table4_DNF_DWF!G31&gt;1,"Rapidly deteriorating","Deteriorating")</f>
        <v>Rapidly deteriorating</v>
      </c>
      <c r="M12" s="2" t="str">
        <f t="shared" si="1"/>
        <v>High</v>
      </c>
    </row>
    <row r="13" spans="1:13">
      <c r="A13" s="2" t="s">
        <v>360</v>
      </c>
      <c r="B13" s="2">
        <v>2100</v>
      </c>
      <c r="C13" s="114">
        <v>997</v>
      </c>
      <c r="D13" s="114">
        <v>896</v>
      </c>
      <c r="E13" s="114">
        <v>1101</v>
      </c>
      <c r="F13" s="2" t="s">
        <v>361</v>
      </c>
      <c r="H13" s="2" t="s">
        <v>362</v>
      </c>
      <c r="I13" s="2">
        <v>2100</v>
      </c>
      <c r="J13" s="113">
        <f>Table4_DNF_DWF!J31</f>
        <v>6.945145999917214</v>
      </c>
      <c r="K13" s="2" t="str">
        <f t="shared" si="0"/>
        <v>High risk</v>
      </c>
      <c r="L13" s="2" t="str">
        <f>IF(Table4_DNF_DWF!J31-Table4_DNF_DWF!G31&gt;1,"Rapidly deteriorating","Deteriorating")</f>
        <v>Rapidly deteriorating</v>
      </c>
      <c r="M13" s="2" t="str">
        <f t="shared" si="1"/>
        <v>High</v>
      </c>
    </row>
    <row r="14" spans="1:13">
      <c r="A14" s="2" t="s">
        <v>362</v>
      </c>
      <c r="B14" s="2">
        <v>2025</v>
      </c>
      <c r="C14" s="114">
        <v>474</v>
      </c>
      <c r="D14" s="114">
        <v>280</v>
      </c>
      <c r="E14" s="114">
        <v>667</v>
      </c>
      <c r="F14" s="2" t="s">
        <v>363</v>
      </c>
      <c r="H14" s="2" t="s">
        <v>360</v>
      </c>
      <c r="I14" s="2">
        <v>2025</v>
      </c>
      <c r="J14" s="113">
        <f>Table4_DNF_DWF!G34</f>
        <v>1.2072434607645874</v>
      </c>
      <c r="K14" s="2" t="str">
        <f t="shared" si="0"/>
        <v>Zone of uncertainty</v>
      </c>
      <c r="L14" s="2" t="str">
        <f>IF(Table4_DNF_DWF!J34-Table4_DNF_DWF!G34&gt;1,"Rapidly deteriorating","Deteriorating")</f>
        <v>Rapidly deteriorating</v>
      </c>
      <c r="M14" s="2" t="str">
        <f t="shared" si="1"/>
        <v>High</v>
      </c>
    </row>
    <row r="15" spans="1:13">
      <c r="A15" s="2" t="s">
        <v>362</v>
      </c>
      <c r="B15" s="2">
        <v>2050</v>
      </c>
      <c r="C15" s="114">
        <v>306</v>
      </c>
      <c r="D15" s="114">
        <v>181</v>
      </c>
      <c r="E15" s="114">
        <v>431</v>
      </c>
      <c r="F15" s="2" t="s">
        <v>363</v>
      </c>
      <c r="H15" s="2" t="s">
        <v>360</v>
      </c>
      <c r="I15" s="2">
        <v>2050</v>
      </c>
      <c r="J15" s="113">
        <f>Table4_DNF_DWF!H34</f>
        <v>1.8706130866194051</v>
      </c>
      <c r="K15" s="2" t="str">
        <f t="shared" si="0"/>
        <v>Zone of uncertainty</v>
      </c>
      <c r="L15" s="2" t="str">
        <f>IF(Table4_DNF_DWF!J34-Table4_DNF_DWF!G34&gt;1,"Rapidly deteriorating","Deteriorating")</f>
        <v>Rapidly deteriorating</v>
      </c>
      <c r="M15" s="2" t="str">
        <f t="shared" si="1"/>
        <v>High</v>
      </c>
    </row>
    <row r="16" spans="1:13">
      <c r="A16" s="2" t="s">
        <v>362</v>
      </c>
      <c r="B16" s="2">
        <v>2075</v>
      </c>
      <c r="C16" s="114">
        <v>244</v>
      </c>
      <c r="D16" s="114">
        <v>144</v>
      </c>
      <c r="E16" s="114">
        <v>343</v>
      </c>
      <c r="F16" s="2" t="s">
        <v>363</v>
      </c>
      <c r="H16" s="2" t="s">
        <v>360</v>
      </c>
      <c r="I16" s="2">
        <v>2075</v>
      </c>
      <c r="J16" s="113">
        <f>Table4_DNF_DWF!I34</f>
        <v>2.3449858026664661</v>
      </c>
      <c r="K16" s="2" t="str">
        <f t="shared" si="0"/>
        <v>High risk</v>
      </c>
      <c r="L16" s="2" t="str">
        <f>IF(Table4_DNF_DWF!J34-Table4_DNF_DWF!G34&gt;1,"Rapidly deteriorating","Deteriorating")</f>
        <v>Rapidly deteriorating</v>
      </c>
      <c r="M16" s="2" t="str">
        <f t="shared" si="1"/>
        <v>High</v>
      </c>
    </row>
    <row r="17" spans="1:13">
      <c r="A17" s="2" t="s">
        <v>362</v>
      </c>
      <c r="B17" s="2">
        <v>2100</v>
      </c>
      <c r="C17" s="114">
        <v>229</v>
      </c>
      <c r="D17" s="114">
        <v>135</v>
      </c>
      <c r="E17" s="114">
        <v>322</v>
      </c>
      <c r="F17" s="2" t="s">
        <v>363</v>
      </c>
      <c r="H17" s="2" t="s">
        <v>360</v>
      </c>
      <c r="I17" s="2">
        <v>2100</v>
      </c>
      <c r="J17" s="113">
        <f>Table4_DNF_DWF!J34</f>
        <v>2.4995330236872948</v>
      </c>
      <c r="K17" s="2" t="str">
        <f t="shared" si="0"/>
        <v>High risk</v>
      </c>
      <c r="L17" s="2" t="str">
        <f>IF(Table4_DNF_DWF!J34-Table4_DNF_DWF!G34&gt;1,"Rapidly deteriorating","Deteriorating")</f>
        <v>Rapidly deteriorating</v>
      </c>
      <c r="M17" s="2" t="str">
        <f t="shared" si="1"/>
        <v>High</v>
      </c>
    </row>
    <row r="18" spans="1:13">
      <c r="A18" s="2" t="s">
        <v>186</v>
      </c>
      <c r="B18" s="2">
        <v>2025</v>
      </c>
      <c r="C18" s="114">
        <v>18.350000000000001</v>
      </c>
      <c r="D18" s="114">
        <v>14.23</v>
      </c>
      <c r="E18" s="114">
        <v>23.99</v>
      </c>
      <c r="F18" s="2" t="s">
        <v>364</v>
      </c>
      <c r="H18" s="2" t="s">
        <v>66</v>
      </c>
      <c r="I18" s="2">
        <v>2025</v>
      </c>
      <c r="J18" s="113">
        <f>Table4_DNF_DWF!G32</f>
        <v>0.28001458333333334</v>
      </c>
      <c r="K18" s="2" t="str">
        <f t="shared" si="0"/>
        <v>Below boundary (safe)</v>
      </c>
      <c r="L18" s="2" t="str">
        <f>IF(Table4_DNF_DWF!J32-Table4_DNF_DWF!G32&gt;1,"Rapidly deteriorating","Deteriorating")</f>
        <v>Deteriorating</v>
      </c>
      <c r="M18" s="2" t="str">
        <f t="shared" si="1"/>
        <v>High</v>
      </c>
    </row>
    <row r="19" spans="1:13">
      <c r="A19" s="2" t="s">
        <v>186</v>
      </c>
      <c r="B19" s="2">
        <v>2050</v>
      </c>
      <c r="C19" s="114">
        <v>11.84</v>
      </c>
      <c r="D19" s="114">
        <v>9.19</v>
      </c>
      <c r="E19" s="114">
        <v>15.48</v>
      </c>
      <c r="F19" s="2" t="s">
        <v>364</v>
      </c>
      <c r="H19" s="2" t="s">
        <v>66</v>
      </c>
      <c r="I19" s="2">
        <v>2050</v>
      </c>
      <c r="J19" s="113">
        <f>Table4_DNF_DWF!H32</f>
        <v>0.43388012530287301</v>
      </c>
      <c r="K19" s="2" t="str">
        <f t="shared" si="0"/>
        <v>Below boundary (safe)</v>
      </c>
      <c r="L19" s="2" t="str">
        <f>IF(Table4_DNF_DWF!J32-Table4_DNF_DWF!G32&gt;1,"Rapidly deteriorating","Deteriorating")</f>
        <v>Deteriorating</v>
      </c>
      <c r="M19" s="2" t="str">
        <f t="shared" si="1"/>
        <v>High</v>
      </c>
    </row>
    <row r="20" spans="1:13">
      <c r="A20" s="2" t="s">
        <v>186</v>
      </c>
      <c r="B20" s="2">
        <v>2075</v>
      </c>
      <c r="C20" s="114">
        <v>9.4499999999999993</v>
      </c>
      <c r="D20" s="114">
        <v>7.33</v>
      </c>
      <c r="E20" s="114">
        <v>12.35</v>
      </c>
      <c r="F20" s="2" t="s">
        <v>364</v>
      </c>
      <c r="H20" s="2" t="s">
        <v>66</v>
      </c>
      <c r="I20" s="2">
        <v>2075</v>
      </c>
      <c r="J20" s="113">
        <f>Table4_DNF_DWF!I32</f>
        <v>0.54390870093457955</v>
      </c>
      <c r="K20" s="2" t="str">
        <f t="shared" si="0"/>
        <v>Below boundary (safe)</v>
      </c>
      <c r="L20" s="2" t="str">
        <f>IF(Table4_DNF_DWF!J32-Table4_DNF_DWF!G32&gt;1,"Rapidly deteriorating","Deteriorating")</f>
        <v>Deteriorating</v>
      </c>
      <c r="M20" s="2" t="str">
        <f t="shared" si="1"/>
        <v>High</v>
      </c>
    </row>
    <row r="21" spans="1:13">
      <c r="A21" s="2" t="s">
        <v>186</v>
      </c>
      <c r="B21" s="2">
        <v>2100</v>
      </c>
      <c r="C21" s="114">
        <v>8.86</v>
      </c>
      <c r="D21" s="114">
        <v>6.87</v>
      </c>
      <c r="E21" s="114">
        <v>11.59</v>
      </c>
      <c r="F21" s="2" t="s">
        <v>364</v>
      </c>
      <c r="H21" s="2" t="s">
        <v>66</v>
      </c>
      <c r="I21" s="2">
        <v>2100</v>
      </c>
      <c r="J21" s="113">
        <f>Table4_DNF_DWF!J32</f>
        <v>0.57975521997230883</v>
      </c>
      <c r="K21" s="2" t="str">
        <f t="shared" si="0"/>
        <v>Below boundary (safe)</v>
      </c>
      <c r="L21" s="2" t="str">
        <f>IF(Table4_DNF_DWF!J32-Table4_DNF_DWF!G32&gt;1,"Rapidly deteriorating","Deteriorating")</f>
        <v>Deteriorating</v>
      </c>
      <c r="M21" s="2" t="str">
        <f t="shared" si="1"/>
        <v>High</v>
      </c>
    </row>
    <row r="22" spans="1:13">
      <c r="A22" s="2" t="s">
        <v>66</v>
      </c>
      <c r="B22" s="2">
        <v>2025</v>
      </c>
      <c r="C22" s="114">
        <v>1.86</v>
      </c>
      <c r="D22" s="114">
        <v>1.35</v>
      </c>
      <c r="E22" s="114">
        <v>2.72</v>
      </c>
      <c r="F22" s="2" t="s">
        <v>365</v>
      </c>
      <c r="H22" s="2" t="s">
        <v>186</v>
      </c>
      <c r="I22" s="2">
        <v>2025</v>
      </c>
      <c r="J22" s="113">
        <f>Table4_DNF_DWF!G33</f>
        <v>9.8802407407407408E-2</v>
      </c>
      <c r="K22" s="2" t="str">
        <f t="shared" si="0"/>
        <v>Below boundary (safe)</v>
      </c>
      <c r="L22" s="2" t="str">
        <f>IF(Table4_DNF_DWF!J33-Table4_DNF_DWF!G33&gt;1,"Rapidly deteriorating","Deteriorating")</f>
        <v>Deteriorating</v>
      </c>
      <c r="M22" s="2" t="str">
        <f t="shared" si="1"/>
        <v>High</v>
      </c>
    </row>
    <row r="23" spans="1:13">
      <c r="A23" s="2" t="s">
        <v>66</v>
      </c>
      <c r="B23" s="2">
        <v>2050</v>
      </c>
      <c r="C23" s="114">
        <v>1.2</v>
      </c>
      <c r="D23" s="114">
        <v>0.87</v>
      </c>
      <c r="E23" s="114">
        <v>1.75</v>
      </c>
      <c r="F23" s="2" t="s">
        <v>365</v>
      </c>
      <c r="H23" s="2" t="s">
        <v>186</v>
      </c>
      <c r="I23" s="2">
        <v>2050</v>
      </c>
      <c r="J23" s="113">
        <f>Table4_DNF_DWF!H33</f>
        <v>0.15309345819006961</v>
      </c>
      <c r="K23" s="2" t="str">
        <f t="shared" si="0"/>
        <v>Below boundary (safe)</v>
      </c>
      <c r="L23" s="2" t="str">
        <f>IF(Table4_DNF_DWF!J33-Table4_DNF_DWF!G33&gt;1,"Rapidly deteriorating","Deteriorating")</f>
        <v>Deteriorating</v>
      </c>
      <c r="M23" s="2" t="str">
        <f t="shared" si="1"/>
        <v>High</v>
      </c>
    </row>
    <row r="24" spans="1:13">
      <c r="A24" s="2" t="s">
        <v>66</v>
      </c>
      <c r="B24" s="2">
        <v>2075</v>
      </c>
      <c r="C24" s="114">
        <v>0.96</v>
      </c>
      <c r="D24" s="114">
        <v>0.69</v>
      </c>
      <c r="E24" s="114">
        <v>1.4</v>
      </c>
      <c r="F24" s="2" t="s">
        <v>365</v>
      </c>
      <c r="H24" s="2" t="s">
        <v>186</v>
      </c>
      <c r="I24" s="2">
        <v>2075</v>
      </c>
      <c r="J24" s="113">
        <f>Table4_DNF_DWF!I33</f>
        <v>0.19191675098650052</v>
      </c>
      <c r="K24" s="2" t="str">
        <f t="shared" si="0"/>
        <v>Below boundary (safe)</v>
      </c>
      <c r="L24" s="2" t="str">
        <f>IF(Table4_DNF_DWF!J33-Table4_DNF_DWF!G33&gt;1,"Rapidly deteriorating","Deteriorating")</f>
        <v>Deteriorating</v>
      </c>
      <c r="M24" s="2" t="str">
        <f t="shared" si="1"/>
        <v>High</v>
      </c>
    </row>
    <row r="25" spans="1:13">
      <c r="A25" s="2" t="s">
        <v>66</v>
      </c>
      <c r="B25" s="2">
        <v>2100</v>
      </c>
      <c r="C25" s="114">
        <v>0.9</v>
      </c>
      <c r="D25" s="114">
        <v>0.65</v>
      </c>
      <c r="E25" s="114">
        <v>1.31</v>
      </c>
      <c r="F25" s="2" t="s">
        <v>365</v>
      </c>
      <c r="H25" s="2" t="s">
        <v>186</v>
      </c>
      <c r="I25" s="2">
        <v>2100</v>
      </c>
      <c r="J25" s="113">
        <f>Table4_DNF_DWF!J33</f>
        <v>0.2045651007115111</v>
      </c>
      <c r="K25" s="2" t="str">
        <f t="shared" si="0"/>
        <v>Below boundary (safe)</v>
      </c>
      <c r="L25" s="2" t="str">
        <f>IF(Table4_DNF_DWF!J33-Table4_DNF_DWF!G33&gt;1,"Rapidly deteriorating","Deteriorating")</f>
        <v>Deteriorating</v>
      </c>
      <c r="M25" s="2" t="str">
        <f t="shared" si="1"/>
        <v>High</v>
      </c>
    </row>
    <row r="27" spans="1:13">
      <c r="A27" s="97" t="s">
        <v>366</v>
      </c>
      <c r="H27" s="106" t="s">
        <v>367</v>
      </c>
    </row>
    <row r="28" spans="1:13">
      <c r="A28" s="98" t="s">
        <v>173</v>
      </c>
      <c r="B28" s="98" t="s">
        <v>75</v>
      </c>
      <c r="C28" s="98" t="s">
        <v>343</v>
      </c>
      <c r="D28" s="98" t="s">
        <v>344</v>
      </c>
      <c r="E28" s="98" t="s">
        <v>345</v>
      </c>
      <c r="F28" s="98" t="s">
        <v>346</v>
      </c>
    </row>
    <row r="29" spans="1:13">
      <c r="A29" s="2" t="s">
        <v>358</v>
      </c>
      <c r="B29" s="2">
        <v>2025</v>
      </c>
      <c r="C29" s="114">
        <v>4.4000000000000004</v>
      </c>
      <c r="D29" s="114">
        <v>4.1900000000000004</v>
      </c>
      <c r="E29" s="114">
        <v>4.6100000000000003</v>
      </c>
      <c r="F29" s="116">
        <v>1</v>
      </c>
    </row>
    <row r="30" spans="1:13">
      <c r="A30" s="2" t="s">
        <v>358</v>
      </c>
      <c r="B30" s="2">
        <v>2050</v>
      </c>
      <c r="C30" s="114">
        <v>6.82</v>
      </c>
      <c r="D30" s="114">
        <v>6.5</v>
      </c>
      <c r="E30" s="114">
        <v>7.13</v>
      </c>
      <c r="F30" s="116">
        <v>1</v>
      </c>
    </row>
    <row r="31" spans="1:13">
      <c r="A31" s="2" t="s">
        <v>358</v>
      </c>
      <c r="B31" s="2">
        <v>2075</v>
      </c>
      <c r="C31" s="114">
        <v>8.56</v>
      </c>
      <c r="D31" s="114">
        <v>8.16</v>
      </c>
      <c r="E31" s="114">
        <v>8.9600000000000009</v>
      </c>
      <c r="F31" s="116">
        <v>1</v>
      </c>
    </row>
    <row r="32" spans="1:13">
      <c r="A32" s="2" t="s">
        <v>358</v>
      </c>
      <c r="B32" s="2">
        <v>2100</v>
      </c>
      <c r="C32" s="114">
        <v>9.1300000000000008</v>
      </c>
      <c r="D32" s="114">
        <v>8.68</v>
      </c>
      <c r="E32" s="114">
        <v>9.5299999999999994</v>
      </c>
      <c r="F32" s="116">
        <v>1</v>
      </c>
    </row>
    <row r="33" spans="1:6">
      <c r="A33" s="2" t="s">
        <v>362</v>
      </c>
      <c r="B33" s="2">
        <v>2025</v>
      </c>
      <c r="C33" s="114">
        <v>3.38</v>
      </c>
      <c r="D33" s="114">
        <v>2.38</v>
      </c>
      <c r="E33" s="114">
        <v>5.76</v>
      </c>
      <c r="F33" s="116">
        <v>1</v>
      </c>
    </row>
    <row r="34" spans="1:6">
      <c r="A34" s="2" t="s">
        <v>362</v>
      </c>
      <c r="B34" s="2">
        <v>2050</v>
      </c>
      <c r="C34" s="114">
        <v>5.23</v>
      </c>
      <c r="D34" s="114">
        <v>3.68</v>
      </c>
      <c r="E34" s="114">
        <v>8.92</v>
      </c>
      <c r="F34" s="116">
        <v>1</v>
      </c>
    </row>
    <row r="35" spans="1:6">
      <c r="A35" s="2" t="s">
        <v>362</v>
      </c>
      <c r="B35" s="2">
        <v>2075</v>
      </c>
      <c r="C35" s="114">
        <v>6.55</v>
      </c>
      <c r="D35" s="114">
        <v>4.62</v>
      </c>
      <c r="E35" s="114">
        <v>11.18</v>
      </c>
      <c r="F35" s="116">
        <v>1</v>
      </c>
    </row>
    <row r="36" spans="1:6">
      <c r="A36" s="2" t="s">
        <v>362</v>
      </c>
      <c r="B36" s="2">
        <v>2100</v>
      </c>
      <c r="C36" s="114">
        <v>6.99</v>
      </c>
      <c r="D36" s="114">
        <v>4.92</v>
      </c>
      <c r="E36" s="114">
        <v>11.92</v>
      </c>
      <c r="F36" s="116">
        <v>1</v>
      </c>
    </row>
    <row r="37" spans="1:6">
      <c r="A37" s="2" t="s">
        <v>360</v>
      </c>
      <c r="B37" s="2">
        <v>2025</v>
      </c>
      <c r="C37" s="114">
        <v>1.21</v>
      </c>
      <c r="D37" s="114">
        <v>1.1000000000000001</v>
      </c>
      <c r="E37" s="114">
        <v>1.36</v>
      </c>
      <c r="F37" s="116">
        <v>1</v>
      </c>
    </row>
    <row r="38" spans="1:6">
      <c r="A38" s="2" t="s">
        <v>360</v>
      </c>
      <c r="B38" s="2">
        <v>2050</v>
      </c>
      <c r="C38" s="114">
        <v>1.87</v>
      </c>
      <c r="D38" s="114">
        <v>1.7</v>
      </c>
      <c r="E38" s="114">
        <v>2.09</v>
      </c>
      <c r="F38" s="116">
        <v>1</v>
      </c>
    </row>
    <row r="39" spans="1:6">
      <c r="A39" s="2" t="s">
        <v>360</v>
      </c>
      <c r="B39" s="2">
        <v>2075</v>
      </c>
      <c r="C39" s="114">
        <v>2.35</v>
      </c>
      <c r="D39" s="114">
        <v>2.13</v>
      </c>
      <c r="E39" s="114">
        <v>2.63</v>
      </c>
      <c r="F39" s="116">
        <v>1</v>
      </c>
    </row>
    <row r="40" spans="1:6">
      <c r="A40" s="2" t="s">
        <v>360</v>
      </c>
      <c r="B40" s="2">
        <v>2100</v>
      </c>
      <c r="C40" s="114">
        <v>2.5</v>
      </c>
      <c r="D40" s="114">
        <v>2.27</v>
      </c>
      <c r="E40" s="114">
        <v>2.8</v>
      </c>
      <c r="F40" s="116">
        <v>1</v>
      </c>
    </row>
    <row r="41" spans="1:6">
      <c r="A41" s="2" t="s">
        <v>66</v>
      </c>
      <c r="B41" s="2">
        <v>2025</v>
      </c>
      <c r="C41" s="114">
        <v>0.23</v>
      </c>
      <c r="D41" s="114">
        <v>0.16</v>
      </c>
      <c r="E41" s="114">
        <v>0.32</v>
      </c>
      <c r="F41" s="116">
        <v>0</v>
      </c>
    </row>
    <row r="42" spans="1:6">
      <c r="A42" s="2" t="s">
        <v>66</v>
      </c>
      <c r="B42" s="2">
        <v>2050</v>
      </c>
      <c r="C42" s="114">
        <v>0.36</v>
      </c>
      <c r="D42" s="114">
        <v>0.25</v>
      </c>
      <c r="E42" s="114">
        <v>0.49</v>
      </c>
      <c r="F42" s="116">
        <v>0</v>
      </c>
    </row>
    <row r="43" spans="1:6">
      <c r="A43" s="2" t="s">
        <v>66</v>
      </c>
      <c r="B43" s="2">
        <v>2075</v>
      </c>
      <c r="C43" s="114">
        <v>0.45</v>
      </c>
      <c r="D43" s="114">
        <v>0.32</v>
      </c>
      <c r="E43" s="114">
        <v>0.61</v>
      </c>
      <c r="F43" s="116">
        <v>0</v>
      </c>
    </row>
    <row r="44" spans="1:6">
      <c r="A44" s="2" t="s">
        <v>66</v>
      </c>
      <c r="B44" s="2">
        <v>2100</v>
      </c>
      <c r="C44" s="114">
        <v>0.48</v>
      </c>
      <c r="D44" s="114">
        <v>0.34</v>
      </c>
      <c r="E44" s="114">
        <v>0.65</v>
      </c>
      <c r="F44" s="116">
        <v>0</v>
      </c>
    </row>
    <row r="45" spans="1:6">
      <c r="A45" s="2" t="s">
        <v>186</v>
      </c>
      <c r="B45" s="2">
        <v>2025</v>
      </c>
      <c r="C45" s="114">
        <v>0.09</v>
      </c>
      <c r="D45" s="114">
        <v>7.0000000000000007E-2</v>
      </c>
      <c r="E45" s="114">
        <v>0.12</v>
      </c>
      <c r="F45" s="116">
        <v>0</v>
      </c>
    </row>
    <row r="46" spans="1:6">
      <c r="A46" s="2" t="s">
        <v>186</v>
      </c>
      <c r="B46" s="2">
        <v>2050</v>
      </c>
      <c r="C46" s="114">
        <v>0.14000000000000001</v>
      </c>
      <c r="D46" s="114">
        <v>0.11</v>
      </c>
      <c r="E46" s="114">
        <v>0.18</v>
      </c>
      <c r="F46" s="116">
        <v>0</v>
      </c>
    </row>
    <row r="47" spans="1:6">
      <c r="A47" s="2" t="s">
        <v>186</v>
      </c>
      <c r="B47" s="2">
        <v>2075</v>
      </c>
      <c r="C47" s="114">
        <v>0.18</v>
      </c>
      <c r="D47" s="114">
        <v>0.14000000000000001</v>
      </c>
      <c r="E47" s="114">
        <v>0.23</v>
      </c>
      <c r="F47" s="116">
        <v>0</v>
      </c>
    </row>
    <row r="48" spans="1:6">
      <c r="A48" s="2" t="s">
        <v>186</v>
      </c>
      <c r="B48" s="2">
        <v>2100</v>
      </c>
      <c r="C48" s="114">
        <v>0.19</v>
      </c>
      <c r="D48" s="114">
        <v>0.15</v>
      </c>
      <c r="E48" s="114">
        <v>0.25</v>
      </c>
      <c r="F48" s="116">
        <v>0</v>
      </c>
    </row>
    <row r="50" spans="1:6">
      <c r="A50" s="97" t="s">
        <v>368</v>
      </c>
    </row>
    <row r="51" spans="1:6">
      <c r="A51" s="98" t="s">
        <v>342</v>
      </c>
      <c r="B51" s="98" t="s">
        <v>75</v>
      </c>
      <c r="C51" s="98" t="s">
        <v>343</v>
      </c>
      <c r="D51" s="98" t="s">
        <v>344</v>
      </c>
      <c r="E51" s="98" t="s">
        <v>345</v>
      </c>
      <c r="F51" s="98" t="s">
        <v>346</v>
      </c>
    </row>
    <row r="52" spans="1:6">
      <c r="A52" s="2" t="s">
        <v>347</v>
      </c>
      <c r="B52" s="2">
        <v>2025</v>
      </c>
      <c r="C52" s="114">
        <v>1.08</v>
      </c>
      <c r="D52" s="114">
        <v>0.98</v>
      </c>
      <c r="E52" s="114">
        <v>1.2</v>
      </c>
      <c r="F52" s="116">
        <v>0.87150000000000005</v>
      </c>
    </row>
    <row r="53" spans="1:6">
      <c r="A53" s="2" t="s">
        <v>347</v>
      </c>
      <c r="B53" s="2">
        <v>2050</v>
      </c>
      <c r="C53" s="114">
        <v>1.67</v>
      </c>
      <c r="D53" s="114">
        <v>1.51</v>
      </c>
      <c r="E53" s="114">
        <v>1.86</v>
      </c>
      <c r="F53" s="116">
        <v>1</v>
      </c>
    </row>
    <row r="54" spans="1:6">
      <c r="A54" s="2" t="s">
        <v>347</v>
      </c>
      <c r="B54" s="2">
        <v>2075</v>
      </c>
      <c r="C54" s="114">
        <v>2.09</v>
      </c>
      <c r="D54" s="114">
        <v>1.9</v>
      </c>
      <c r="E54" s="114">
        <v>2.33</v>
      </c>
      <c r="F54" s="116">
        <v>1</v>
      </c>
    </row>
    <row r="55" spans="1:6">
      <c r="A55" s="2" t="s">
        <v>347</v>
      </c>
      <c r="B55" s="2">
        <v>2100</v>
      </c>
      <c r="C55" s="114">
        <v>2.23</v>
      </c>
      <c r="D55" s="114">
        <v>2.02</v>
      </c>
      <c r="E55" s="114">
        <v>2.4900000000000002</v>
      </c>
      <c r="F55" s="116">
        <v>1</v>
      </c>
    </row>
    <row r="56" spans="1:6">
      <c r="A56" s="2" t="s">
        <v>348</v>
      </c>
      <c r="B56" s="2">
        <v>2025</v>
      </c>
      <c r="C56" s="114">
        <v>1.1399999999999999</v>
      </c>
      <c r="D56" s="114">
        <v>1.03</v>
      </c>
      <c r="E56" s="114">
        <v>1.27</v>
      </c>
      <c r="F56" s="116">
        <v>0.99150000000000005</v>
      </c>
    </row>
    <row r="57" spans="1:6">
      <c r="A57" s="2" t="s">
        <v>348</v>
      </c>
      <c r="B57" s="2">
        <v>2050</v>
      </c>
      <c r="C57" s="114">
        <v>1.76</v>
      </c>
      <c r="D57" s="114">
        <v>1.6</v>
      </c>
      <c r="E57" s="114">
        <v>1.96</v>
      </c>
      <c r="F57" s="116">
        <v>1</v>
      </c>
    </row>
    <row r="58" spans="1:6">
      <c r="A58" s="2" t="s">
        <v>348</v>
      </c>
      <c r="B58" s="2">
        <v>2075</v>
      </c>
      <c r="C58" s="114">
        <v>2.21</v>
      </c>
      <c r="D58" s="114">
        <v>2</v>
      </c>
      <c r="E58" s="114">
        <v>2.46</v>
      </c>
      <c r="F58" s="116">
        <v>1</v>
      </c>
    </row>
    <row r="59" spans="1:6">
      <c r="A59" s="2" t="s">
        <v>348</v>
      </c>
      <c r="B59" s="2">
        <v>2100</v>
      </c>
      <c r="C59" s="114">
        <v>2.35</v>
      </c>
      <c r="D59" s="114">
        <v>2.13</v>
      </c>
      <c r="E59" s="114">
        <v>2.62</v>
      </c>
      <c r="F59" s="116">
        <v>1</v>
      </c>
    </row>
    <row r="60" spans="1:6">
      <c r="A60" s="2" t="s">
        <v>349</v>
      </c>
      <c r="B60" s="2">
        <v>2025</v>
      </c>
      <c r="C60" s="114">
        <v>1.2</v>
      </c>
      <c r="D60" s="114">
        <v>1.08</v>
      </c>
      <c r="E60" s="114">
        <v>1.33</v>
      </c>
      <c r="F60" s="116">
        <v>1</v>
      </c>
    </row>
    <row r="61" spans="1:6">
      <c r="A61" s="2" t="s">
        <v>349</v>
      </c>
      <c r="B61" s="2">
        <v>2050</v>
      </c>
      <c r="C61" s="114">
        <v>1.85</v>
      </c>
      <c r="D61" s="114">
        <v>1.68</v>
      </c>
      <c r="E61" s="114">
        <v>2.0699999999999998</v>
      </c>
      <c r="F61" s="116">
        <v>1</v>
      </c>
    </row>
    <row r="62" spans="1:6">
      <c r="A62" s="2" t="s">
        <v>349</v>
      </c>
      <c r="B62" s="2">
        <v>2075</v>
      </c>
      <c r="C62" s="114">
        <v>2.3199999999999998</v>
      </c>
      <c r="D62" s="114">
        <v>2.11</v>
      </c>
      <c r="E62" s="114">
        <v>2.59</v>
      </c>
      <c r="F62" s="116">
        <v>1</v>
      </c>
    </row>
    <row r="63" spans="1:6">
      <c r="A63" s="2" t="s">
        <v>349</v>
      </c>
      <c r="B63" s="2">
        <v>2100</v>
      </c>
      <c r="C63" s="114">
        <v>2.48</v>
      </c>
      <c r="D63" s="114">
        <v>2.2400000000000002</v>
      </c>
      <c r="E63" s="114">
        <v>2.76</v>
      </c>
      <c r="F63" s="116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zoomScaleNormal="100" workbookViewId="0">
      <selection activeCell="A22" sqref="A22"/>
    </sheetView>
  </sheetViews>
  <sheetFormatPr defaultColWidth="8.453125" defaultRowHeight="17"/>
  <cols>
    <col min="1" max="1" width="30" style="1" customWidth="1"/>
    <col min="2" max="2" width="70" style="1" customWidth="1"/>
  </cols>
  <sheetData>
    <row r="1" spans="1:2">
      <c r="A1" s="96" t="s">
        <v>369</v>
      </c>
    </row>
    <row r="3" spans="1:2">
      <c r="A3" s="98" t="s">
        <v>370</v>
      </c>
      <c r="B3" s="98" t="s">
        <v>371</v>
      </c>
    </row>
    <row r="4" spans="1:2">
      <c r="A4" s="2" t="s">
        <v>372</v>
      </c>
      <c r="B4" s="2" t="s">
        <v>373</v>
      </c>
    </row>
    <row r="5" spans="1:2">
      <c r="A5" s="2" t="s">
        <v>374</v>
      </c>
      <c r="B5" s="2" t="s">
        <v>375</v>
      </c>
    </row>
    <row r="6" spans="1:2">
      <c r="A6" s="2" t="s">
        <v>376</v>
      </c>
      <c r="B6" s="2" t="s">
        <v>377</v>
      </c>
    </row>
    <row r="7" spans="1:2">
      <c r="A7" s="2" t="s">
        <v>378</v>
      </c>
      <c r="B7" s="2" t="s">
        <v>379</v>
      </c>
    </row>
    <row r="8" spans="1:2">
      <c r="A8" s="2" t="s">
        <v>380</v>
      </c>
      <c r="B8" s="2" t="s">
        <v>381</v>
      </c>
    </row>
    <row r="9" spans="1:2">
      <c r="A9" s="2" t="s">
        <v>382</v>
      </c>
      <c r="B9" s="2" t="s">
        <v>383</v>
      </c>
    </row>
    <row r="10" spans="1:2">
      <c r="A10" s="2" t="s">
        <v>384</v>
      </c>
      <c r="B10" s="2" t="s">
        <v>385</v>
      </c>
    </row>
    <row r="11" spans="1:2">
      <c r="A11" s="2" t="s">
        <v>386</v>
      </c>
      <c r="B11" s="2" t="s">
        <v>387</v>
      </c>
    </row>
    <row r="12" spans="1:2">
      <c r="A12" s="2" t="s">
        <v>388</v>
      </c>
      <c r="B12" s="2" t="s">
        <v>389</v>
      </c>
    </row>
    <row r="13" spans="1:2">
      <c r="A13" s="2" t="s">
        <v>390</v>
      </c>
      <c r="B13" s="2" t="s">
        <v>391</v>
      </c>
    </row>
    <row r="14" spans="1:2">
      <c r="A14" s="2"/>
      <c r="B14" s="2"/>
    </row>
    <row r="15" spans="1:2">
      <c r="A15" s="106"/>
    </row>
    <row r="16" spans="1:2">
      <c r="A16" s="106"/>
    </row>
    <row r="17" spans="1:1">
      <c r="A17" s="106"/>
    </row>
    <row r="18" spans="1:1">
      <c r="A18" s="106"/>
    </row>
    <row r="19" spans="1:1">
      <c r="A19" s="10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PopulationTrajectory</vt:lpstr>
      <vt:lpstr>LandSystemChange_Agri</vt:lpstr>
      <vt:lpstr>LiteratureReview</vt:lpstr>
      <vt:lpstr>MultiPrincipleDownscaling</vt:lpstr>
      <vt:lpstr>Table4_DNF_DWF</vt:lpstr>
      <vt:lpstr>FoodSecurity_Land</vt:lpstr>
      <vt:lpstr>FoodSecurity_Cereal</vt:lpstr>
      <vt:lpstr>MonteCarlo_Robustness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CHIA-WEN LI</dc:creator>
  <dc:description/>
  <cp:lastModifiedBy>Ouattar33817761 Ali</cp:lastModifiedBy>
  <cp:revision>1</cp:revision>
  <dcterms:created xsi:type="dcterms:W3CDTF">2026-06-23T11:15:49Z</dcterms:created>
  <dcterms:modified xsi:type="dcterms:W3CDTF">2026-10-07T10:54:05Z</dcterms:modified>
  <dc:language>en-US</dc:language>
</cp:coreProperties>
</file>